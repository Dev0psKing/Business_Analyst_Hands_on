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" documentId="13_ncr:1_{D9F6518B-2660-4977-B2B6-55CE37B04DA6}" xr6:coauthVersionLast="47" xr6:coauthVersionMax="47" xr10:uidLastSave="{A213D9F1-A443-44B2-9C89-011BD0EBAAD9}"/>
  <bookViews>
    <workbookView xWindow="-120" yWindow="-120" windowWidth="38640" windowHeight="21120" xr2:uid="{00000000-000D-0000-FFFF-FFFF00000000}"/>
  </bookViews>
  <sheets>
    <sheet name="IRR vs. XIRR" sheetId="9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9" l="1"/>
  <c r="C15" i="9"/>
  <c r="E17" i="9"/>
  <c r="E15" i="9"/>
</calcChain>
</file>

<file path=xl/sharedStrings.xml><?xml version="1.0" encoding="utf-8"?>
<sst xmlns="http://schemas.openxmlformats.org/spreadsheetml/2006/main" count="9" uniqueCount="9">
  <si>
    <t>Input Data</t>
  </si>
  <si>
    <t>Output</t>
  </si>
  <si>
    <t>Timeline</t>
  </si>
  <si>
    <t>Period</t>
  </si>
  <si>
    <t>Cash Flows</t>
  </si>
  <si>
    <t>XIRR</t>
  </si>
  <si>
    <t>IRR</t>
  </si>
  <si>
    <t>Date</t>
  </si>
  <si>
    <t>IRR vs. XIRR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</si>
</sst>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rgb="FF0073B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1" fillId="0" borderId="0"/>
  </cellStyleXfs>
  <cellXfs count="20">
    <xf numFmtId="0" fontId="0" fillId="0" borderId="0" xfId="0"/>
    <xf numFmtId="0" fontId="7" fillId="2" borderId="0" xfId="9" applyFont="1" applyFill="1" applyAlignment="1">
      <alignment horizontal="left" vertical="center"/>
    </xf>
    <xf numFmtId="0" fontId="9" fillId="2" borderId="0" xfId="4" applyFont="1" applyFill="1"/>
    <xf numFmtId="0" fontId="10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wrapText="1"/>
    </xf>
    <xf numFmtId="49" fontId="11" fillId="2" borderId="1" xfId="4" applyNumberFormat="1" applyFont="1" applyFill="1" applyBorder="1" applyAlignment="1">
      <alignment wrapText="1"/>
    </xf>
    <xf numFmtId="49" fontId="11" fillId="2" borderId="1" xfId="4" applyNumberFormat="1" applyFont="1" applyFill="1" applyBorder="1" applyAlignment="1">
      <alignment horizontal="center" wrapText="1"/>
    </xf>
    <xf numFmtId="0" fontId="9" fillId="2" borderId="1" xfId="4" applyFont="1" applyFill="1" applyBorder="1"/>
    <xf numFmtId="7" fontId="9" fillId="2" borderId="1" xfId="4" applyNumberFormat="1" applyFont="1" applyFill="1" applyBorder="1"/>
    <xf numFmtId="7" fontId="9" fillId="2" borderId="0" xfId="4" applyNumberFormat="1" applyFont="1" applyFill="1"/>
    <xf numFmtId="49" fontId="11" fillId="2" borderId="0" xfId="4" applyNumberFormat="1" applyFont="1" applyFill="1" applyAlignment="1">
      <alignment wrapText="1"/>
    </xf>
    <xf numFmtId="9" fontId="11" fillId="2" borderId="0" xfId="4" applyNumberFormat="1" applyFont="1" applyFill="1" applyAlignment="1">
      <alignment horizontal="center" wrapText="1"/>
    </xf>
    <xf numFmtId="0" fontId="9" fillId="2" borderId="0" xfId="4" applyFont="1" applyFill="1" applyAlignment="1">
      <alignment horizontal="center"/>
    </xf>
    <xf numFmtId="0" fontId="6" fillId="2" borderId="0" xfId="4" applyFont="1" applyFill="1"/>
    <xf numFmtId="7" fontId="9" fillId="2" borderId="0" xfId="5" applyNumberFormat="1" applyFont="1" applyFill="1" applyBorder="1"/>
    <xf numFmtId="37" fontId="9" fillId="2" borderId="1" xfId="5" applyNumberFormat="1" applyFont="1" applyFill="1" applyBorder="1"/>
    <xf numFmtId="8" fontId="9" fillId="2" borderId="0" xfId="4" applyNumberFormat="1" applyFont="1" applyFill="1"/>
    <xf numFmtId="164" fontId="9" fillId="2" borderId="2" xfId="4" applyNumberFormat="1" applyFont="1" applyFill="1" applyBorder="1"/>
    <xf numFmtId="14" fontId="9" fillId="2" borderId="0" xfId="5" applyNumberFormat="1" applyFont="1" applyFill="1" applyBorder="1"/>
    <xf numFmtId="14" fontId="9" fillId="2" borderId="0" xfId="4" applyNumberFormat="1" applyFont="1" applyFill="1"/>
  </cellXfs>
  <cellStyles count="10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Normal 2 2 2 2" xfId="9" xr:uid="{24127E15-AC17-46B2-BD48-EC5612B417F2}"/>
    <cellStyle name="Normal 3" xfId="8" xr:uid="{4A888349-9CC5-4482-886C-136CF0FD6223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14</xdr:row>
      <xdr:rowOff>85725</xdr:rowOff>
    </xdr:from>
    <xdr:to>
      <xdr:col>3</xdr:col>
      <xdr:colOff>561975</xdr:colOff>
      <xdr:row>14</xdr:row>
      <xdr:rowOff>87630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A1CD13C-32D4-4690-B4A1-519AB032EE7B}"/>
            </a:ext>
          </a:extLst>
        </xdr:cNvPr>
        <xdr:cNvCxnSpPr/>
      </xdr:nvCxnSpPr>
      <xdr:spPr>
        <a:xfrm flipH="1">
          <a:off x="3009900" y="2057400"/>
          <a:ext cx="485775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16</xdr:row>
      <xdr:rowOff>85725</xdr:rowOff>
    </xdr:from>
    <xdr:to>
      <xdr:col>3</xdr:col>
      <xdr:colOff>561975</xdr:colOff>
      <xdr:row>16</xdr:row>
      <xdr:rowOff>87630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9646C5A-CF49-4287-A53E-B0AB410384B8}"/>
            </a:ext>
          </a:extLst>
        </xdr:cNvPr>
        <xdr:cNvCxnSpPr/>
      </xdr:nvCxnSpPr>
      <xdr:spPr>
        <a:xfrm flipH="1">
          <a:off x="3009900" y="2059305"/>
          <a:ext cx="48387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333-96E9-408E-9341-3F87ADA6B765}">
  <dimension ref="B1:F21"/>
  <sheetViews>
    <sheetView tabSelected="1" workbookViewId="0"/>
  </sheetViews>
  <sheetFormatPr defaultColWidth="9" defaultRowHeight="12" x14ac:dyDescent="0.2"/>
  <cols>
    <col min="1" max="1" width="1.85546875" style="2" customWidth="1"/>
    <col min="2" max="2" width="35.28515625" style="2" customWidth="1"/>
    <col min="3" max="3" width="9.5703125" style="2" bestFit="1" customWidth="1"/>
    <col min="4" max="6" width="10.7109375" style="2" bestFit="1" customWidth="1"/>
    <col min="7" max="16384" width="9" style="2"/>
  </cols>
  <sheetData>
    <row r="1" spans="2:6" ht="13.15" customHeight="1" x14ac:dyDescent="0.2">
      <c r="B1" s="1" t="s">
        <v>8</v>
      </c>
      <c r="E1" s="3"/>
      <c r="F1" s="4"/>
    </row>
    <row r="2" spans="2:6" ht="12.75" customHeight="1" x14ac:dyDescent="0.2"/>
    <row r="3" spans="2:6" ht="12.75" thickBot="1" x14ac:dyDescent="0.25">
      <c r="B3" s="5" t="s">
        <v>0</v>
      </c>
      <c r="C3" s="6"/>
      <c r="D3" s="7"/>
      <c r="E3" s="7"/>
      <c r="F3" s="8"/>
    </row>
    <row r="4" spans="2:6" ht="12.75" thickTop="1" x14ac:dyDescent="0.2">
      <c r="B4" s="10"/>
      <c r="C4" s="11"/>
      <c r="F4" s="9"/>
    </row>
    <row r="5" spans="2:6" x14ac:dyDescent="0.2">
      <c r="C5" s="12"/>
      <c r="F5" s="9"/>
    </row>
    <row r="6" spans="2:6" x14ac:dyDescent="0.2">
      <c r="B6" s="13" t="s">
        <v>2</v>
      </c>
      <c r="C6" s="14"/>
    </row>
    <row r="7" spans="2:6" ht="12.75" thickBot="1" x14ac:dyDescent="0.25">
      <c r="B7" s="7" t="s">
        <v>3</v>
      </c>
      <c r="C7" s="15">
        <v>0</v>
      </c>
      <c r="D7" s="7">
        <v>1</v>
      </c>
      <c r="E7" s="15">
        <v>2</v>
      </c>
      <c r="F7" s="7">
        <v>3</v>
      </c>
    </row>
    <row r="8" spans="2:6" ht="12.75" thickTop="1" x14ac:dyDescent="0.2">
      <c r="B8" s="2" t="s">
        <v>7</v>
      </c>
      <c r="C8" s="18">
        <v>44012</v>
      </c>
      <c r="D8" s="19">
        <v>44196</v>
      </c>
      <c r="E8" s="18">
        <v>44561</v>
      </c>
      <c r="F8" s="19">
        <v>44561</v>
      </c>
    </row>
    <row r="9" spans="2:6" x14ac:dyDescent="0.2">
      <c r="B9" s="2" t="s">
        <v>4</v>
      </c>
      <c r="C9" s="9">
        <v>-130</v>
      </c>
      <c r="D9" s="9">
        <v>70</v>
      </c>
      <c r="E9" s="9">
        <v>60</v>
      </c>
      <c r="F9" s="9">
        <v>50</v>
      </c>
    </row>
    <row r="10" spans="2:6" x14ac:dyDescent="0.2">
      <c r="D10" s="9"/>
      <c r="E10" s="9"/>
      <c r="F10" s="9"/>
    </row>
    <row r="11" spans="2:6" x14ac:dyDescent="0.2">
      <c r="C11" s="12"/>
      <c r="F11" s="9"/>
    </row>
    <row r="12" spans="2:6" ht="12.75" thickBot="1" x14ac:dyDescent="0.25">
      <c r="B12" s="5" t="s">
        <v>1</v>
      </c>
      <c r="C12" s="6"/>
      <c r="D12" s="7"/>
      <c r="E12" s="7"/>
      <c r="F12" s="8"/>
    </row>
    <row r="13" spans="2:6" ht="12.75" thickTop="1" x14ac:dyDescent="0.2">
      <c r="C13" s="12"/>
      <c r="F13" s="9"/>
    </row>
    <row r="14" spans="2:6" x14ac:dyDescent="0.2">
      <c r="F14" s="9"/>
    </row>
    <row r="15" spans="2:6" x14ac:dyDescent="0.2">
      <c r="B15" s="2" t="s">
        <v>6</v>
      </c>
      <c r="C15" s="17">
        <f>IRR(C9:F9)</f>
        <v>0.19444769991980237</v>
      </c>
      <c r="E15" s="2" t="str">
        <f ca="1">_xlfn.FORMULATEXT(C15)</f>
        <v>=IRR(C9:F9)</v>
      </c>
      <c r="F15" s="9"/>
    </row>
    <row r="16" spans="2:6" x14ac:dyDescent="0.2">
      <c r="F16" s="9"/>
    </row>
    <row r="17" spans="2:6" x14ac:dyDescent="0.2">
      <c r="B17" s="2" t="s">
        <v>5</v>
      </c>
      <c r="C17" s="17">
        <f>XIRR(C9:F9,C8:F8)</f>
        <v>0.3521311461925507</v>
      </c>
      <c r="E17" s="2" t="str">
        <f ca="1">_xlfn.FORMULATEXT(C17)</f>
        <v>=XIRR(C9:F9,C8:F8)</v>
      </c>
      <c r="F17" s="9"/>
    </row>
    <row r="18" spans="2:6" x14ac:dyDescent="0.2">
      <c r="F18" s="9"/>
    </row>
    <row r="21" spans="2:6" x14ac:dyDescent="0.2">
      <c r="C21" s="16"/>
      <c r="D21" s="9"/>
      <c r="E21" s="9"/>
      <c r="F21" s="9"/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 vs. XIRR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2023-01-27T11:07:01Z</dcterms:modified>
</cp:coreProperties>
</file>