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38" documentId="8_{1750A3C2-B8E2-4732-93A7-AD96AEF774B7}" xr6:coauthVersionLast="47" xr6:coauthVersionMax="47" xr10:uidLastSave="{C8C81585-260A-41F7-B754-AF70943CF564}"/>
  <bookViews>
    <workbookView xWindow="-28920" yWindow="-3765" windowWidth="29040" windowHeight="15720" xr2:uid="{00000000-000D-0000-FFFF-FFFF00000000}"/>
  </bookViews>
  <sheets>
    <sheet name="NPV vs IRR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3" l="1"/>
  <c r="G30" i="3" s="1"/>
  <c r="F29" i="3"/>
  <c r="F30" i="3" s="1"/>
  <c r="E29" i="3"/>
  <c r="E30" i="3" s="1"/>
  <c r="D29" i="3"/>
  <c r="D30" i="3" s="1"/>
  <c r="C29" i="3"/>
  <c r="C38" i="3" s="1"/>
  <c r="G23" i="3"/>
  <c r="G24" i="3" s="1"/>
  <c r="F23" i="3"/>
  <c r="F24" i="3" s="1"/>
  <c r="E23" i="3"/>
  <c r="E24" i="3" s="1"/>
  <c r="D23" i="3"/>
  <c r="D24" i="3" s="1"/>
  <c r="C23" i="3"/>
  <c r="C37" i="3" s="1"/>
  <c r="E38" i="3"/>
  <c r="C30" i="3" l="1"/>
  <c r="C31" i="3" s="1"/>
  <c r="C24" i="3"/>
  <c r="C25" i="3" s="1"/>
  <c r="E31" i="3"/>
  <c r="E25" i="3"/>
  <c r="E37" i="3"/>
</calcChain>
</file>

<file path=xl/sharedStrings.xml><?xml version="1.0" encoding="utf-8"?>
<sst xmlns="http://schemas.openxmlformats.org/spreadsheetml/2006/main" count="34" uniqueCount="23">
  <si>
    <t>Input Data</t>
  </si>
  <si>
    <t>Output</t>
  </si>
  <si>
    <t>Number of Periods</t>
  </si>
  <si>
    <t>Period</t>
  </si>
  <si>
    <t>Cash Flows</t>
  </si>
  <si>
    <t>PV of Cash Flow</t>
  </si>
  <si>
    <t>Net Present Value (NPV)</t>
  </si>
  <si>
    <t>Cost of Capital</t>
  </si>
  <si>
    <t>Initial Investment</t>
  </si>
  <si>
    <t>Cash Inflow (Year 1)</t>
  </si>
  <si>
    <t>Cash Inflow (Year 2)</t>
  </si>
  <si>
    <t>Cash Inflow (Year 3)</t>
  </si>
  <si>
    <t>Cash Inflow (Year 4)</t>
  </si>
  <si>
    <t>NPV</t>
  </si>
  <si>
    <t>IRR</t>
  </si>
  <si>
    <t>Project A</t>
  </si>
  <si>
    <t>Project B</t>
  </si>
  <si>
    <t>Timeline (Project A)</t>
  </si>
  <si>
    <t>Timeline (Project B)</t>
  </si>
  <si>
    <t>IRR (Project A)</t>
  </si>
  <si>
    <t>IRR (Project B)</t>
  </si>
  <si>
    <t>NPV vs IRR (Project A and B)</t>
  </si>
  <si>
    <t>Task: Calculate the NPV and IRR for each of the two projects using the data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</si>
</sst>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10" fontId="7" fillId="2" borderId="0" xfId="4" applyNumberFormat="1" applyFont="1" applyFill="1"/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5" fontId="7" fillId="2" borderId="0" xfId="4" applyNumberFormat="1" applyFont="1" applyFill="1"/>
    <xf numFmtId="6" fontId="12" fillId="3" borderId="3" xfId="8" applyNumberFormat="1" applyFont="1" applyFill="1" applyBorder="1"/>
    <xf numFmtId="49" fontId="13" fillId="2" borderId="4" xfId="4" applyNumberFormat="1" applyFont="1" applyFill="1" applyBorder="1" applyAlignment="1">
      <alignment horizontal="right" wrapText="1"/>
    </xf>
    <xf numFmtId="9" fontId="12" fillId="3" borderId="3" xfId="8" applyNumberFormat="1" applyFont="1" applyFill="1" applyBorder="1"/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24</xdr:row>
      <xdr:rowOff>74295</xdr:rowOff>
    </xdr:from>
    <xdr:to>
      <xdr:col>3</xdr:col>
      <xdr:colOff>647699</xdr:colOff>
      <xdr:row>24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3498A05-EF77-4716-A77E-DEBAE9711E0E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36</xdr:row>
      <xdr:rowOff>74295</xdr:rowOff>
    </xdr:from>
    <xdr:to>
      <xdr:col>3</xdr:col>
      <xdr:colOff>647699</xdr:colOff>
      <xdr:row>36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D6FC85-31A1-47C2-AF0F-47CC42074519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30</xdr:row>
      <xdr:rowOff>74295</xdr:rowOff>
    </xdr:from>
    <xdr:to>
      <xdr:col>3</xdr:col>
      <xdr:colOff>647699</xdr:colOff>
      <xdr:row>30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43D169C-28D7-4B0B-92E1-53F600FF68E3}"/>
            </a:ext>
          </a:extLst>
        </xdr:cNvPr>
        <xdr:cNvCxnSpPr/>
      </xdr:nvCxnSpPr>
      <xdr:spPr>
        <a:xfrm flipH="1">
          <a:off x="2786380" y="34874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125095</xdr:colOff>
      <xdr:row>37</xdr:row>
      <xdr:rowOff>88582</xdr:rowOff>
    </xdr:from>
    <xdr:to>
      <xdr:col>3</xdr:col>
      <xdr:colOff>637539</xdr:colOff>
      <xdr:row>37</xdr:row>
      <xdr:rowOff>88582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3185991-820E-4175-B10B-D17AF6017A7A}"/>
            </a:ext>
          </a:extLst>
        </xdr:cNvPr>
        <xdr:cNvCxnSpPr/>
      </xdr:nvCxnSpPr>
      <xdr:spPr>
        <a:xfrm flipH="1">
          <a:off x="2776220" y="5382895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O38"/>
  <sheetViews>
    <sheetView tabSelected="1" zoomScale="120" zoomScaleNormal="120" workbookViewId="0"/>
  </sheetViews>
  <sheetFormatPr defaultColWidth="9" defaultRowHeight="11.4" x14ac:dyDescent="0.2"/>
  <cols>
    <col min="1" max="1" width="1.875" style="4" customWidth="1"/>
    <col min="2" max="2" width="25.75" style="4" bestFit="1" customWidth="1"/>
    <col min="3" max="3" width="15.875" style="4" bestFit="1" customWidth="1"/>
    <col min="4" max="4" width="14" style="4" bestFit="1" customWidth="1"/>
    <col min="5" max="5" width="17.75" style="4" customWidth="1"/>
    <col min="6" max="6" width="14" style="4" bestFit="1" customWidth="1"/>
    <col min="7" max="7" width="11.375" style="4" bestFit="1" customWidth="1"/>
    <col min="8" max="16384" width="9" style="4"/>
  </cols>
  <sheetData>
    <row r="1" spans="2:7" ht="13.2" customHeight="1" x14ac:dyDescent="0.2">
      <c r="B1" s="14" t="s">
        <v>21</v>
      </c>
      <c r="E1" s="12"/>
      <c r="F1" s="13"/>
      <c r="G1" s="12"/>
    </row>
    <row r="2" spans="2:7" ht="12.75" customHeight="1" x14ac:dyDescent="0.2"/>
    <row r="3" spans="2:7" ht="12.75" customHeight="1" x14ac:dyDescent="0.25">
      <c r="B3" s="28" t="s">
        <v>22</v>
      </c>
    </row>
    <row r="4" spans="2:7" ht="12.75" customHeight="1" x14ac:dyDescent="0.2"/>
    <row r="5" spans="2:7" ht="12.75" customHeight="1" x14ac:dyDescent="0.2"/>
    <row r="6" spans="2:7" ht="12" thickBot="1" x14ac:dyDescent="0.25">
      <c r="B6" s="1" t="s">
        <v>0</v>
      </c>
      <c r="C6" s="2"/>
      <c r="D6" s="7"/>
      <c r="E6" s="7"/>
      <c r="F6" s="18"/>
      <c r="G6" s="7"/>
    </row>
    <row r="7" spans="2:7" ht="12" thickTop="1" x14ac:dyDescent="0.2">
      <c r="B7" s="3"/>
      <c r="C7" s="19"/>
      <c r="F7" s="5"/>
    </row>
    <row r="8" spans="2:7" ht="12" x14ac:dyDescent="0.25">
      <c r="B8" s="3"/>
      <c r="C8" s="26" t="s">
        <v>15</v>
      </c>
      <c r="F8" s="26" t="s">
        <v>16</v>
      </c>
    </row>
    <row r="9" spans="2:7" x14ac:dyDescent="0.2">
      <c r="B9" s="3" t="s">
        <v>7</v>
      </c>
      <c r="C9" s="22">
        <v>0.1</v>
      </c>
      <c r="E9" s="3" t="s">
        <v>7</v>
      </c>
      <c r="F9" s="22">
        <v>0.1</v>
      </c>
    </row>
    <row r="10" spans="2:7" x14ac:dyDescent="0.2">
      <c r="B10" s="4" t="s">
        <v>8</v>
      </c>
      <c r="C10" s="23">
        <v>-200000</v>
      </c>
      <c r="E10" s="4" t="s">
        <v>8</v>
      </c>
      <c r="F10" s="23">
        <v>-200000</v>
      </c>
    </row>
    <row r="11" spans="2:7" x14ac:dyDescent="0.2">
      <c r="B11" s="4" t="s">
        <v>2</v>
      </c>
      <c r="C11" s="16">
        <v>4</v>
      </c>
      <c r="E11" s="4" t="s">
        <v>2</v>
      </c>
      <c r="F11" s="16">
        <v>4</v>
      </c>
    </row>
    <row r="12" spans="2:7" x14ac:dyDescent="0.2">
      <c r="B12" s="4" t="s">
        <v>9</v>
      </c>
      <c r="C12" s="17">
        <v>320000</v>
      </c>
      <c r="E12" s="4" t="s">
        <v>9</v>
      </c>
      <c r="F12" s="17">
        <v>0</v>
      </c>
    </row>
    <row r="13" spans="2:7" x14ac:dyDescent="0.2">
      <c r="B13" s="4" t="s">
        <v>10</v>
      </c>
      <c r="C13" s="17">
        <v>0</v>
      </c>
      <c r="E13" s="4" t="s">
        <v>10</v>
      </c>
      <c r="F13" s="17">
        <v>0</v>
      </c>
    </row>
    <row r="14" spans="2:7" x14ac:dyDescent="0.2">
      <c r="B14" s="4" t="s">
        <v>11</v>
      </c>
      <c r="C14" s="17">
        <v>0</v>
      </c>
      <c r="E14" s="4" t="s">
        <v>11</v>
      </c>
      <c r="F14" s="17">
        <v>0</v>
      </c>
    </row>
    <row r="15" spans="2:7" x14ac:dyDescent="0.2">
      <c r="B15" s="4" t="s">
        <v>12</v>
      </c>
      <c r="C15" s="17">
        <v>0</v>
      </c>
      <c r="E15" s="4" t="s">
        <v>12</v>
      </c>
      <c r="F15" s="17">
        <v>480000</v>
      </c>
    </row>
    <row r="17" spans="2:15" ht="12" thickBot="1" x14ac:dyDescent="0.25">
      <c r="B17" s="1" t="s">
        <v>1</v>
      </c>
      <c r="C17" s="2"/>
      <c r="D17" s="7"/>
      <c r="E17" s="7"/>
      <c r="F17" s="18"/>
      <c r="G17" s="7"/>
    </row>
    <row r="18" spans="2:15" ht="12" thickTop="1" x14ac:dyDescent="0.2">
      <c r="B18" s="3"/>
      <c r="C18" s="19"/>
      <c r="F18" s="5"/>
    </row>
    <row r="19" spans="2:15" x14ac:dyDescent="0.2">
      <c r="B19" s="20" t="s">
        <v>13</v>
      </c>
      <c r="C19" s="20"/>
      <c r="D19" s="20"/>
      <c r="E19" s="20"/>
      <c r="F19" s="20"/>
      <c r="G19" s="20"/>
    </row>
    <row r="20" spans="2:15" x14ac:dyDescent="0.2">
      <c r="C20" s="15"/>
      <c r="E20" s="15"/>
      <c r="G20" s="15"/>
    </row>
    <row r="21" spans="2:15" ht="12" x14ac:dyDescent="0.25">
      <c r="B21" s="6" t="s">
        <v>17</v>
      </c>
      <c r="C21" s="10"/>
    </row>
    <row r="22" spans="2:15" ht="12" thickBot="1" x14ac:dyDescent="0.25">
      <c r="B22" s="7" t="s">
        <v>3</v>
      </c>
      <c r="C22" s="11">
        <v>0</v>
      </c>
      <c r="D22" s="7">
        <v>1</v>
      </c>
      <c r="E22" s="11">
        <v>2</v>
      </c>
      <c r="F22" s="11">
        <v>3</v>
      </c>
      <c r="G22" s="7">
        <v>4</v>
      </c>
    </row>
    <row r="23" spans="2:15" ht="12" thickTop="1" x14ac:dyDescent="0.2">
      <c r="B23" s="4" t="s">
        <v>4</v>
      </c>
      <c r="C23" s="24">
        <f>C10</f>
        <v>-200000</v>
      </c>
      <c r="D23" s="24">
        <f>C12</f>
        <v>320000</v>
      </c>
      <c r="E23" s="24">
        <f>C13</f>
        <v>0</v>
      </c>
      <c r="F23" s="24">
        <f>C14</f>
        <v>0</v>
      </c>
      <c r="G23" s="24">
        <f>C15</f>
        <v>0</v>
      </c>
    </row>
    <row r="24" spans="2:15" x14ac:dyDescent="0.2">
      <c r="B24" s="8" t="s">
        <v>5</v>
      </c>
      <c r="C24" s="24">
        <f>C23/((1+$C$9))^C22</f>
        <v>-200000</v>
      </c>
      <c r="D24" s="24">
        <f>D23/((1+$C$9))^D22</f>
        <v>290909.09090909088</v>
      </c>
      <c r="E24" s="24">
        <f t="shared" ref="E24:G24" si="0">E23/((1+$C$9))^E22</f>
        <v>0</v>
      </c>
      <c r="F24" s="24">
        <f t="shared" si="0"/>
        <v>0</v>
      </c>
      <c r="G24" s="24">
        <f t="shared" si="0"/>
        <v>0</v>
      </c>
    </row>
    <row r="25" spans="2:15" x14ac:dyDescent="0.2">
      <c r="B25" s="4" t="s">
        <v>6</v>
      </c>
      <c r="C25" s="25">
        <f>SUM(C24:G24)</f>
        <v>90909.090909090883</v>
      </c>
      <c r="E25" s="4" t="str">
        <f ca="1">IF(C25="","",_xlfn.FORMULATEXT(C25))</f>
        <v>=SUM(C24:G24)</v>
      </c>
      <c r="F25" s="9"/>
      <c r="O25" s="21"/>
    </row>
    <row r="26" spans="2:15" x14ac:dyDescent="0.2">
      <c r="C26" s="9"/>
      <c r="D26" s="9"/>
      <c r="E26" s="9"/>
      <c r="F26" s="9"/>
      <c r="G26" s="9"/>
    </row>
    <row r="27" spans="2:15" ht="12" x14ac:dyDescent="0.25">
      <c r="B27" s="6" t="s">
        <v>18</v>
      </c>
      <c r="C27" s="10"/>
    </row>
    <row r="28" spans="2:15" ht="12" thickBot="1" x14ac:dyDescent="0.25">
      <c r="B28" s="7" t="s">
        <v>3</v>
      </c>
      <c r="C28" s="11">
        <v>0</v>
      </c>
      <c r="D28" s="7">
        <v>1</v>
      </c>
      <c r="E28" s="11">
        <v>2</v>
      </c>
      <c r="F28" s="11">
        <v>3</v>
      </c>
      <c r="G28" s="7">
        <v>4</v>
      </c>
    </row>
    <row r="29" spans="2:15" ht="12" thickTop="1" x14ac:dyDescent="0.2">
      <c r="B29" s="4" t="s">
        <v>4</v>
      </c>
      <c r="C29" s="24">
        <f>F10</f>
        <v>-200000</v>
      </c>
      <c r="D29" s="24">
        <f>F12</f>
        <v>0</v>
      </c>
      <c r="E29" s="24">
        <f>F13</f>
        <v>0</v>
      </c>
      <c r="F29" s="24">
        <f>F14</f>
        <v>0</v>
      </c>
      <c r="G29" s="24">
        <f>F15</f>
        <v>480000</v>
      </c>
    </row>
    <row r="30" spans="2:15" x14ac:dyDescent="0.2">
      <c r="B30" s="8" t="s">
        <v>5</v>
      </c>
      <c r="C30" s="24">
        <f>C29/((1+$F$9))^C28</f>
        <v>-200000</v>
      </c>
      <c r="D30" s="24">
        <f t="shared" ref="D30:G30" si="1">D29/((1+$F$9))^D28</f>
        <v>0</v>
      </c>
      <c r="E30" s="24">
        <f t="shared" si="1"/>
        <v>0</v>
      </c>
      <c r="F30" s="24">
        <f t="shared" si="1"/>
        <v>0</v>
      </c>
      <c r="G30" s="24">
        <f t="shared" si="1"/>
        <v>327846.45857523382</v>
      </c>
    </row>
    <row r="31" spans="2:15" x14ac:dyDescent="0.2">
      <c r="B31" s="4" t="s">
        <v>6</v>
      </c>
      <c r="C31" s="25">
        <f>SUM(C30:G30)</f>
        <v>127846.45857523382</v>
      </c>
      <c r="E31" s="4" t="str">
        <f ca="1">IF(C31="","",_xlfn.FORMULATEXT(C31))</f>
        <v>=SUM(C30:G30)</v>
      </c>
      <c r="F31" s="9"/>
    </row>
    <row r="32" spans="2:15" x14ac:dyDescent="0.2">
      <c r="C32" s="9"/>
      <c r="D32" s="5"/>
      <c r="E32" s="5"/>
      <c r="F32" s="5"/>
      <c r="G32" s="5"/>
    </row>
    <row r="34" spans="2:7" x14ac:dyDescent="0.2">
      <c r="B34" s="20" t="s">
        <v>14</v>
      </c>
      <c r="C34" s="20"/>
      <c r="D34" s="20"/>
      <c r="E34" s="20"/>
      <c r="F34" s="20"/>
      <c r="G34" s="20"/>
    </row>
    <row r="37" spans="2:7" x14ac:dyDescent="0.2">
      <c r="B37" s="4" t="s">
        <v>19</v>
      </c>
      <c r="C37" s="27">
        <f>IRR(C23:G23)</f>
        <v>0.60000000000000009</v>
      </c>
      <c r="E37" s="4" t="str">
        <f ca="1">IF(C37="","",_xlfn.FORMULATEXT(C37))</f>
        <v>=IRR(C23:G23)</v>
      </c>
    </row>
    <row r="38" spans="2:7" x14ac:dyDescent="0.2">
      <c r="B38" s="4" t="s">
        <v>20</v>
      </c>
      <c r="C38" s="27">
        <f>IRR(C29:G29)</f>
        <v>0.2446659545769565</v>
      </c>
      <c r="E38" s="4" t="str">
        <f ca="1">IF(C38="","",_xlfn.FORMULATEXT(C38))</f>
        <v>=IRR(C29:G29)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vs 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2023-02-07T06:55:46Z</dcterms:modified>
</cp:coreProperties>
</file>