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28" documentId="8_{1750A3C2-B8E2-4732-93A7-AD96AEF774B7}" xr6:coauthVersionLast="47" xr6:coauthVersionMax="47" xr10:uidLastSave="{DF912406-BE24-4246-BEB7-858F5B308B16}"/>
  <bookViews>
    <workbookView xWindow="-120" yWindow="-120" windowWidth="38640" windowHeight="21120" xr2:uid="{00000000-000D-0000-FFFF-FFFF00000000}"/>
  </bookViews>
  <sheets>
    <sheet name="Net Present Value (NPV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 s="1"/>
  <c r="E20" i="3"/>
  <c r="E21" i="3" s="1"/>
  <c r="D20" i="3"/>
  <c r="D21" i="3" s="1"/>
  <c r="C20" i="3"/>
  <c r="C29" i="3" l="1"/>
  <c r="C21" i="3"/>
  <c r="C22" i="3" s="1"/>
  <c r="E29" i="3"/>
  <c r="E22" i="3"/>
</calcChain>
</file>

<file path=xl/sharedStrings.xml><?xml version="1.0" encoding="utf-8"?>
<sst xmlns="http://schemas.openxmlformats.org/spreadsheetml/2006/main" count="18" uniqueCount="16">
  <si>
    <t>Timeline</t>
  </si>
  <si>
    <t>Input Data</t>
  </si>
  <si>
    <t>Output</t>
  </si>
  <si>
    <t>Number of Periods</t>
  </si>
  <si>
    <t>Period</t>
  </si>
  <si>
    <t>Cash Flows</t>
  </si>
  <si>
    <t>PV of Cash Flow</t>
  </si>
  <si>
    <t>Net Present Value (NPV)</t>
  </si>
  <si>
    <t>Cost of Capital</t>
  </si>
  <si>
    <t>Initial Investment</t>
  </si>
  <si>
    <t>Method #1 (NPV by Discounting Each Cash Flow)</t>
  </si>
  <si>
    <t>Method #2  (NPV Using the "NPV" Function)</t>
  </si>
  <si>
    <t>Cash Inflow (Year 1)</t>
  </si>
  <si>
    <t>Cash Inflow (Year 2)</t>
  </si>
  <si>
    <t>Cash Inflow (Year 3)</t>
  </si>
  <si>
    <t>Task: Calculate the net present value (NPV) in two different ways using the following input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</si>
</sst>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10" fontId="7" fillId="2" borderId="0" xfId="4" applyNumberFormat="1" applyFont="1" applyFill="1"/>
    <xf numFmtId="9" fontId="6" fillId="2" borderId="0" xfId="4" applyNumberFormat="1" applyFont="1" applyFill="1" applyAlignment="1">
      <alignment horizontal="right" wrapText="1"/>
    </xf>
    <xf numFmtId="5" fontId="7" fillId="2" borderId="0" xfId="4" applyNumberFormat="1" applyFont="1" applyFill="1" applyAlignment="1">
      <alignment horizontal="right"/>
    </xf>
    <xf numFmtId="5" fontId="7" fillId="2" borderId="0" xfId="4" applyNumberFormat="1" applyFont="1" applyFill="1"/>
    <xf numFmtId="6" fontId="12" fillId="3" borderId="3" xfId="8" applyNumberFormat="1" applyFont="1" applyFill="1" applyBorder="1"/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21</xdr:row>
      <xdr:rowOff>74295</xdr:rowOff>
    </xdr:from>
    <xdr:to>
      <xdr:col>3</xdr:col>
      <xdr:colOff>647699</xdr:colOff>
      <xdr:row>21</xdr:row>
      <xdr:rowOff>74295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3498A05-EF77-4716-A77E-DEBAE9711E0E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28</xdr:row>
      <xdr:rowOff>74295</xdr:rowOff>
    </xdr:from>
    <xdr:to>
      <xdr:col>3</xdr:col>
      <xdr:colOff>647699</xdr:colOff>
      <xdr:row>28</xdr:row>
      <xdr:rowOff>74295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D6FC85-31A1-47C2-AF0F-47CC42074519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P29"/>
  <sheetViews>
    <sheetView tabSelected="1" zoomScale="120" zoomScaleNormal="12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5.85546875" style="4" bestFit="1" customWidth="1"/>
    <col min="4" max="6" width="14" style="4" bestFit="1" customWidth="1"/>
    <col min="7" max="7" width="11.42578125" style="4" bestFit="1" customWidth="1"/>
    <col min="8" max="16384" width="9" style="4"/>
  </cols>
  <sheetData>
    <row r="1" spans="2:8" ht="13.15" customHeight="1" x14ac:dyDescent="0.2">
      <c r="B1" s="14" t="s">
        <v>7</v>
      </c>
      <c r="E1" s="12"/>
      <c r="F1" s="13"/>
      <c r="G1" s="12"/>
    </row>
    <row r="2" spans="2:8" ht="12.75" customHeight="1" x14ac:dyDescent="0.2"/>
    <row r="3" spans="2:8" ht="12.75" customHeight="1" x14ac:dyDescent="0.2">
      <c r="B3" s="26" t="s">
        <v>15</v>
      </c>
    </row>
    <row r="4" spans="2:8" ht="12.75" customHeight="1" x14ac:dyDescent="0.2"/>
    <row r="5" spans="2:8" ht="12.75" customHeight="1" x14ac:dyDescent="0.2"/>
    <row r="6" spans="2:8" ht="12.75" thickBot="1" x14ac:dyDescent="0.25">
      <c r="B6" s="1" t="s">
        <v>1</v>
      </c>
      <c r="C6" s="2"/>
      <c r="D6" s="7"/>
      <c r="E6" s="7"/>
      <c r="F6" s="18"/>
      <c r="G6" s="7"/>
      <c r="H6" s="7"/>
    </row>
    <row r="7" spans="2:8" ht="12.75" thickTop="1" x14ac:dyDescent="0.2">
      <c r="B7" s="3" t="s">
        <v>8</v>
      </c>
      <c r="C7" s="22">
        <v>0.05</v>
      </c>
      <c r="F7" s="5"/>
    </row>
    <row r="8" spans="2:8" x14ac:dyDescent="0.2">
      <c r="B8" s="4" t="s">
        <v>9</v>
      </c>
      <c r="C8" s="23">
        <v>-142740000</v>
      </c>
      <c r="F8" s="5"/>
    </row>
    <row r="9" spans="2:8" x14ac:dyDescent="0.2">
      <c r="B9" s="4" t="s">
        <v>3</v>
      </c>
      <c r="C9" s="16">
        <v>3</v>
      </c>
      <c r="F9" s="5"/>
    </row>
    <row r="10" spans="2:8" x14ac:dyDescent="0.2">
      <c r="B10" s="4" t="s">
        <v>12</v>
      </c>
      <c r="C10" s="17">
        <v>44250000</v>
      </c>
    </row>
    <row r="11" spans="2:8" x14ac:dyDescent="0.2">
      <c r="B11" s="4" t="s">
        <v>13</v>
      </c>
      <c r="C11" s="17">
        <v>55000000</v>
      </c>
    </row>
    <row r="12" spans="2:8" x14ac:dyDescent="0.2">
      <c r="B12" s="4" t="s">
        <v>14</v>
      </c>
      <c r="C12" s="17">
        <v>88410000</v>
      </c>
    </row>
    <row r="14" spans="2:8" ht="12.75" thickBot="1" x14ac:dyDescent="0.25">
      <c r="B14" s="1" t="s">
        <v>2</v>
      </c>
      <c r="C14" s="2"/>
      <c r="D14" s="7"/>
      <c r="E14" s="7"/>
      <c r="F14" s="18"/>
      <c r="G14" s="7"/>
      <c r="H14" s="7"/>
    </row>
    <row r="15" spans="2:8" ht="12.75" thickTop="1" x14ac:dyDescent="0.2">
      <c r="B15" s="3"/>
      <c r="C15" s="19"/>
      <c r="F15" s="5"/>
    </row>
    <row r="16" spans="2:8" x14ac:dyDescent="0.2">
      <c r="B16" s="20" t="s">
        <v>10</v>
      </c>
      <c r="C16" s="20"/>
      <c r="D16" s="20"/>
      <c r="E16" s="20"/>
      <c r="F16" s="20"/>
      <c r="G16" s="20"/>
      <c r="H16" s="20"/>
    </row>
    <row r="17" spans="2:16" x14ac:dyDescent="0.2">
      <c r="C17" s="15"/>
      <c r="E17" s="15"/>
      <c r="G17" s="15"/>
    </row>
    <row r="18" spans="2:16" x14ac:dyDescent="0.2">
      <c r="B18" s="6" t="s">
        <v>0</v>
      </c>
      <c r="C18" s="10"/>
    </row>
    <row r="19" spans="2:16" ht="12.75" thickBot="1" x14ac:dyDescent="0.25">
      <c r="B19" s="7" t="s">
        <v>4</v>
      </c>
      <c r="C19" s="11">
        <v>0</v>
      </c>
      <c r="D19" s="7">
        <v>1</v>
      </c>
      <c r="E19" s="11">
        <v>2</v>
      </c>
      <c r="F19" s="11">
        <v>3</v>
      </c>
    </row>
    <row r="20" spans="2:16" ht="12.75" thickTop="1" x14ac:dyDescent="0.2">
      <c r="B20" s="4" t="s">
        <v>5</v>
      </c>
      <c r="C20" s="24">
        <f>C8</f>
        <v>-142740000</v>
      </c>
      <c r="D20" s="24">
        <f>C10</f>
        <v>44250000</v>
      </c>
      <c r="E20" s="24">
        <f>C11</f>
        <v>55000000</v>
      </c>
      <c r="F20" s="24">
        <f>C12</f>
        <v>88410000</v>
      </c>
    </row>
    <row r="21" spans="2:16" x14ac:dyDescent="0.2">
      <c r="B21" s="8" t="s">
        <v>6</v>
      </c>
      <c r="C21" s="24">
        <f>C20/((1+$C$7))^C19</f>
        <v>-142740000</v>
      </c>
      <c r="D21" s="24">
        <f>D20/((1+$C$7))^D19</f>
        <v>42142857.142857142</v>
      </c>
      <c r="E21" s="24">
        <f t="shared" ref="E21:F21" si="0">E20/((1+$C$7))^E19</f>
        <v>49886621.315192744</v>
      </c>
      <c r="F21" s="24">
        <f t="shared" si="0"/>
        <v>76371882.086167797</v>
      </c>
    </row>
    <row r="22" spans="2:16" x14ac:dyDescent="0.2">
      <c r="B22" s="4" t="s">
        <v>7</v>
      </c>
      <c r="C22" s="25">
        <f>SUM(C21:P21)</f>
        <v>25661360.544217676</v>
      </c>
      <c r="E22" s="4" t="str">
        <f ca="1">IF(C22="","",_xlfn.FORMULATEXT(C22))</f>
        <v>=SUM(C21:P21)</v>
      </c>
      <c r="F22" s="9"/>
      <c r="P22" s="21"/>
    </row>
    <row r="23" spans="2:16" x14ac:dyDescent="0.2">
      <c r="C23" s="9"/>
      <c r="D23" s="9"/>
      <c r="E23" s="9"/>
      <c r="F23" s="9"/>
      <c r="G23" s="9"/>
    </row>
    <row r="24" spans="2:16" x14ac:dyDescent="0.2">
      <c r="C24" s="9"/>
      <c r="D24" s="5"/>
      <c r="E24" s="5"/>
      <c r="F24" s="5"/>
      <c r="G24" s="5"/>
    </row>
    <row r="26" spans="2:16" x14ac:dyDescent="0.2">
      <c r="B26" s="20" t="s">
        <v>11</v>
      </c>
      <c r="C26" s="20"/>
      <c r="D26" s="20"/>
      <c r="E26" s="20"/>
      <c r="F26" s="20"/>
      <c r="G26" s="20"/>
      <c r="H26" s="20"/>
    </row>
    <row r="29" spans="2:16" x14ac:dyDescent="0.2">
      <c r="B29" s="4" t="s">
        <v>7</v>
      </c>
      <c r="C29" s="25">
        <f>NPV(C7,D20:F20)+C8</f>
        <v>25661360.544217706</v>
      </c>
      <c r="E29" s="4" t="str">
        <f ca="1">IF(C29="","",_xlfn.FORMULATEXT(C29))</f>
        <v>=NPV(C7,D20:F20)+C8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Present Value (NPV)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2023-01-27T10:57:45Z</dcterms:modified>
</cp:coreProperties>
</file>