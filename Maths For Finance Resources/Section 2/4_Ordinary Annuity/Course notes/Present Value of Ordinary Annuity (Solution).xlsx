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32" documentId="13_ncr:1_{1EB76CCB-2638-4079-880A-DA43FEAFBDBE}" xr6:coauthVersionLast="47" xr6:coauthVersionMax="47" xr10:uidLastSave="{AE79CCCC-0259-4E3F-9E25-208F87D9FB00}"/>
  <bookViews>
    <workbookView xWindow="-120" yWindow="-120" windowWidth="38640" windowHeight="21120" xr2:uid="{00000000-000D-0000-FFFF-FFFF00000000}"/>
  </bookViews>
  <sheets>
    <sheet name="Present Value of Ord Annuity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2" i="3" l="1"/>
  <c r="C23" i="3" l="1"/>
  <c r="E16" i="3"/>
  <c r="F16" i="3"/>
  <c r="F17" i="3" s="1"/>
  <c r="G16" i="3"/>
  <c r="G17" i="3" s="1"/>
  <c r="H16" i="3"/>
  <c r="H17" i="3" s="1"/>
  <c r="E17" i="3"/>
  <c r="C17" i="3"/>
  <c r="D16" i="3"/>
  <c r="D17" i="3" s="1"/>
  <c r="C18" i="3" l="1"/>
</calcChain>
</file>

<file path=xl/sharedStrings.xml><?xml version="1.0" encoding="utf-8"?>
<sst xmlns="http://schemas.openxmlformats.org/spreadsheetml/2006/main" count="17" uniqueCount="15">
  <si>
    <t>Timeline</t>
  </si>
  <si>
    <t>Input Data</t>
  </si>
  <si>
    <t>Output</t>
  </si>
  <si>
    <t>Payment</t>
  </si>
  <si>
    <t>Discount rate/Period</t>
  </si>
  <si>
    <t>Number of Periods</t>
  </si>
  <si>
    <t>Method #1 (Annuity Present Value Using a Time Line)</t>
  </si>
  <si>
    <t>Period</t>
  </si>
  <si>
    <t>Cash Flows</t>
  </si>
  <si>
    <t>PV of Cash Flow</t>
  </si>
  <si>
    <t>Present Value</t>
  </si>
  <si>
    <t>Method #2  (Annuity Present Value Using Formula)</t>
  </si>
  <si>
    <t>Method #3  (Annuity Present Value Using the PV Function)</t>
  </si>
  <si>
    <t>Present Value of Ordinary Annuity</t>
  </si>
  <si>
    <t>Task: Calculate the present value of an ordinary annuity that pays $1,500 per year for 5 years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</si>
</sst>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13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sz val="9"/>
      <color rgb="FF0073B0"/>
      <name val="Arial"/>
      <family val="2"/>
    </font>
    <font>
      <b/>
      <sz val="9"/>
      <name val="Arial"/>
      <family val="2"/>
    </font>
    <font>
      <b/>
      <sz val="12"/>
      <color rgb="FF0073B0"/>
      <name val="Arial"/>
      <family val="2"/>
    </font>
    <font>
      <sz val="8"/>
      <name val="Arial Narrow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D9D9D9"/>
      </patternFill>
    </fill>
  </fills>
  <borders count="4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/>
      <right/>
      <top/>
      <bottom style="thin">
        <color rgb="FF0073B0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" fillId="0" borderId="0"/>
  </cellStyleXfs>
  <cellXfs count="28">
    <xf numFmtId="0" fontId="0" fillId="0" borderId="0" xfId="0"/>
    <xf numFmtId="49" fontId="6" fillId="2" borderId="1" xfId="4" applyNumberFormat="1" applyFont="1" applyFill="1" applyBorder="1" applyAlignment="1">
      <alignment wrapText="1"/>
    </xf>
    <xf numFmtId="49" fontId="6" fillId="2" borderId="1" xfId="4" applyNumberFormat="1" applyFont="1" applyFill="1" applyBorder="1" applyAlignment="1">
      <alignment horizontal="center" wrapText="1"/>
    </xf>
    <xf numFmtId="49" fontId="6" fillId="2" borderId="0" xfId="4" applyNumberFormat="1" applyFont="1" applyFill="1" applyAlignment="1">
      <alignment wrapText="1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/>
    <xf numFmtId="0" fontId="7" fillId="2" borderId="1" xfId="4" applyFont="1" applyFill="1" applyBorder="1"/>
    <xf numFmtId="0" fontId="7" fillId="2" borderId="0" xfId="4" applyFont="1" applyFill="1" applyAlignment="1">
      <alignment wrapText="1"/>
    </xf>
    <xf numFmtId="8" fontId="7" fillId="2" borderId="0" xfId="4" applyNumberFormat="1" applyFont="1" applyFill="1"/>
    <xf numFmtId="7" fontId="7" fillId="2" borderId="0" xfId="5" applyNumberFormat="1" applyFont="1" applyFill="1" applyBorder="1"/>
    <xf numFmtId="37" fontId="7" fillId="2" borderId="1" xfId="5" applyNumberFormat="1" applyFont="1" applyFill="1" applyBorder="1"/>
    <xf numFmtId="0" fontId="9" fillId="2" borderId="0" xfId="4" applyFont="1" applyFill="1" applyAlignment="1">
      <alignment horizontal="left" vertical="center"/>
    </xf>
    <xf numFmtId="0" fontId="9" fillId="2" borderId="0" xfId="4" applyFont="1" applyFill="1" applyAlignment="1">
      <alignment horizontal="left" vertical="center" wrapText="1"/>
    </xf>
    <xf numFmtId="0" fontId="10" fillId="2" borderId="0" xfId="2" applyFont="1" applyFill="1" applyAlignment="1">
      <alignment horizontal="left" vertical="center"/>
    </xf>
    <xf numFmtId="37" fontId="7" fillId="2" borderId="0" xfId="5" applyNumberFormat="1" applyFont="1" applyFill="1" applyBorder="1"/>
    <xf numFmtId="0" fontId="7" fillId="2" borderId="0" xfId="4" applyFont="1" applyFill="1" applyAlignment="1">
      <alignment horizontal="right"/>
    </xf>
    <xf numFmtId="8" fontId="6" fillId="2" borderId="0" xfId="4" applyNumberFormat="1" applyFont="1" applyFill="1" applyAlignment="1">
      <alignment horizontal="right" wrapText="1"/>
    </xf>
    <xf numFmtId="9" fontId="7" fillId="2" borderId="0" xfId="4" applyNumberFormat="1" applyFont="1" applyFill="1" applyAlignment="1">
      <alignment horizontal="right"/>
    </xf>
    <xf numFmtId="6" fontId="7" fillId="2" borderId="0" xfId="4" applyNumberFormat="1" applyFont="1" applyFill="1"/>
    <xf numFmtId="7" fontId="7" fillId="2" borderId="1" xfId="4" applyNumberFormat="1" applyFont="1" applyFill="1" applyBorder="1"/>
    <xf numFmtId="49" fontId="6" fillId="2" borderId="0" xfId="4" applyNumberFormat="1" applyFont="1" applyFill="1" applyAlignment="1">
      <alignment horizontal="center" wrapText="1"/>
    </xf>
    <xf numFmtId="0" fontId="7" fillId="2" borderId="2" xfId="4" applyFont="1" applyFill="1" applyBorder="1"/>
    <xf numFmtId="8" fontId="12" fillId="3" borderId="3" xfId="8" applyNumberFormat="1" applyFont="1" applyFill="1" applyBorder="1"/>
    <xf numFmtId="10" fontId="7" fillId="2" borderId="0" xfId="4" applyNumberFormat="1" applyFont="1" applyFill="1"/>
    <xf numFmtId="164" fontId="7" fillId="2" borderId="0" xfId="4" applyNumberFormat="1" applyFont="1" applyFill="1"/>
    <xf numFmtId="4" fontId="7" fillId="2" borderId="0" xfId="4" applyNumberFormat="1" applyFont="1" applyFill="1"/>
    <xf numFmtId="0" fontId="9" fillId="2" borderId="0" xfId="4" applyFont="1" applyFill="1"/>
  </cellXfs>
  <cellStyles count="9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10" xfId="8" xr:uid="{B8F84CD4-14CE-4475-B497-047A896E5B1F}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P35"/>
  <sheetViews>
    <sheetView tabSelected="1" workbookViewId="0">
      <selection activeCell="L19" sqref="L19"/>
    </sheetView>
  </sheetViews>
  <sheetFormatPr defaultColWidth="9" defaultRowHeight="12" x14ac:dyDescent="0.2"/>
  <cols>
    <col min="1" max="1" width="1.85546875" style="4" customWidth="1"/>
    <col min="2" max="2" width="25.7109375" style="4" bestFit="1" customWidth="1"/>
    <col min="3" max="3" width="13.140625" style="4" customWidth="1"/>
    <col min="4" max="7" width="11.42578125" style="4" bestFit="1" customWidth="1"/>
    <col min="8" max="8" width="10.7109375" style="4" customWidth="1"/>
    <col min="9" max="16384" width="9" style="4"/>
  </cols>
  <sheetData>
    <row r="1" spans="2:8" ht="13.15" customHeight="1" x14ac:dyDescent="0.2">
      <c r="B1" s="14" t="s">
        <v>13</v>
      </c>
      <c r="E1" s="12"/>
      <c r="F1" s="13"/>
      <c r="G1" s="12"/>
    </row>
    <row r="2" spans="2:8" ht="12.75" customHeight="1" x14ac:dyDescent="0.2"/>
    <row r="3" spans="2:8" ht="12.75" customHeight="1" x14ac:dyDescent="0.2">
      <c r="B3" s="27" t="s">
        <v>14</v>
      </c>
    </row>
    <row r="4" spans="2:8" ht="12.75" customHeight="1" x14ac:dyDescent="0.2"/>
    <row r="5" spans="2:8" ht="12.75" thickBot="1" x14ac:dyDescent="0.25">
      <c r="B5" s="1" t="s">
        <v>1</v>
      </c>
      <c r="C5" s="2"/>
      <c r="D5" s="7"/>
      <c r="E5" s="7"/>
      <c r="F5" s="20"/>
      <c r="G5" s="7"/>
      <c r="H5" s="7"/>
    </row>
    <row r="6" spans="2:8" ht="12.75" thickTop="1" x14ac:dyDescent="0.2">
      <c r="B6" s="3" t="s">
        <v>3</v>
      </c>
      <c r="C6" s="17">
        <v>1500</v>
      </c>
      <c r="F6" s="5"/>
    </row>
    <row r="7" spans="2:8" x14ac:dyDescent="0.2">
      <c r="B7" s="4" t="s">
        <v>4</v>
      </c>
      <c r="C7" s="18">
        <v>0.05</v>
      </c>
      <c r="F7" s="5"/>
    </row>
    <row r="8" spans="2:8" x14ac:dyDescent="0.2">
      <c r="B8" s="4" t="s">
        <v>5</v>
      </c>
      <c r="C8" s="16">
        <v>5</v>
      </c>
      <c r="F8" s="5"/>
    </row>
    <row r="10" spans="2:8" ht="12.75" thickBot="1" x14ac:dyDescent="0.25">
      <c r="B10" s="1" t="s">
        <v>2</v>
      </c>
      <c r="C10" s="2"/>
      <c r="D10" s="7"/>
      <c r="E10" s="7"/>
      <c r="F10" s="20"/>
      <c r="G10" s="7"/>
      <c r="H10" s="7"/>
    </row>
    <row r="11" spans="2:8" ht="12.75" thickTop="1" x14ac:dyDescent="0.2">
      <c r="B11" s="3"/>
      <c r="C11" s="21"/>
      <c r="F11" s="5"/>
    </row>
    <row r="12" spans="2:8" x14ac:dyDescent="0.2">
      <c r="B12" s="22" t="s">
        <v>6</v>
      </c>
      <c r="C12" s="22"/>
      <c r="D12" s="22"/>
      <c r="E12" s="22"/>
      <c r="F12" s="22"/>
      <c r="G12" s="22"/>
      <c r="H12" s="22"/>
    </row>
    <row r="13" spans="2:8" x14ac:dyDescent="0.2">
      <c r="C13" s="15"/>
      <c r="E13" s="15"/>
      <c r="G13" s="15"/>
    </row>
    <row r="14" spans="2:8" x14ac:dyDescent="0.2">
      <c r="B14" s="6" t="s">
        <v>0</v>
      </c>
      <c r="C14" s="10"/>
    </row>
    <row r="15" spans="2:8" ht="12.75" thickBot="1" x14ac:dyDescent="0.25">
      <c r="B15" s="7" t="s">
        <v>7</v>
      </c>
      <c r="C15" s="11">
        <v>0</v>
      </c>
      <c r="D15" s="7">
        <v>1</v>
      </c>
      <c r="E15" s="11">
        <v>2</v>
      </c>
      <c r="F15" s="11">
        <v>3</v>
      </c>
      <c r="G15" s="7">
        <v>4</v>
      </c>
      <c r="H15" s="11">
        <v>5</v>
      </c>
    </row>
    <row r="16" spans="2:8" ht="12.75" thickTop="1" x14ac:dyDescent="0.2">
      <c r="B16" s="4" t="s">
        <v>8</v>
      </c>
      <c r="C16" s="19">
        <v>0</v>
      </c>
      <c r="D16" s="19">
        <f t="shared" ref="D16:H16" si="0">$C$6</f>
        <v>1500</v>
      </c>
      <c r="E16" s="19">
        <f t="shared" si="0"/>
        <v>1500</v>
      </c>
      <c r="F16" s="19">
        <f t="shared" si="0"/>
        <v>1500</v>
      </c>
      <c r="G16" s="19">
        <f t="shared" si="0"/>
        <v>1500</v>
      </c>
      <c r="H16" s="19">
        <f t="shared" si="0"/>
        <v>1500</v>
      </c>
    </row>
    <row r="17" spans="2:16" x14ac:dyDescent="0.2">
      <c r="B17" s="8" t="s">
        <v>9</v>
      </c>
      <c r="C17" s="5">
        <f>C16/((1+$C$7))^C15</f>
        <v>0</v>
      </c>
      <c r="D17" s="5">
        <f t="shared" ref="D17:H17" si="1">D16/((1+$C$7))^D15</f>
        <v>1428.5714285714284</v>
      </c>
      <c r="E17" s="5">
        <f t="shared" si="1"/>
        <v>1360.5442176870747</v>
      </c>
      <c r="F17" s="5">
        <f t="shared" si="1"/>
        <v>1295.756397797214</v>
      </c>
      <c r="G17" s="5">
        <f t="shared" si="1"/>
        <v>1234.0537121878231</v>
      </c>
      <c r="H17" s="5">
        <f t="shared" si="1"/>
        <v>1175.2892497026885</v>
      </c>
    </row>
    <row r="18" spans="2:16" x14ac:dyDescent="0.2">
      <c r="B18" s="4" t="s">
        <v>10</v>
      </c>
      <c r="C18" s="23">
        <f>SUM(C17:H17)</f>
        <v>6494.2150059462292</v>
      </c>
      <c r="D18" s="9"/>
      <c r="E18" s="9"/>
      <c r="F18" s="9"/>
      <c r="G18" s="9"/>
      <c r="H18" s="9"/>
      <c r="P18" s="24"/>
    </row>
    <row r="19" spans="2:16" x14ac:dyDescent="0.2">
      <c r="C19" s="9"/>
      <c r="D19" s="9"/>
      <c r="E19" s="9"/>
      <c r="F19" s="9"/>
      <c r="G19" s="9"/>
    </row>
    <row r="20" spans="2:16" x14ac:dyDescent="0.2">
      <c r="C20" s="9"/>
      <c r="D20" s="5"/>
      <c r="E20" s="5"/>
      <c r="F20" s="5"/>
      <c r="G20" s="5"/>
    </row>
    <row r="21" spans="2:16" x14ac:dyDescent="0.2">
      <c r="B21" s="22" t="s">
        <v>11</v>
      </c>
      <c r="C21" s="22"/>
      <c r="D21" s="22"/>
      <c r="E21" s="22"/>
      <c r="F21" s="22"/>
      <c r="G21" s="22"/>
      <c r="H21" s="22"/>
    </row>
    <row r="23" spans="2:16" x14ac:dyDescent="0.2">
      <c r="B23" s="4" t="s">
        <v>10</v>
      </c>
      <c r="C23" s="23">
        <f>C6*(1-((1+C7)^(-C8)))/C7</f>
        <v>6494.215005946231</v>
      </c>
    </row>
    <row r="29" spans="2:16" x14ac:dyDescent="0.2">
      <c r="B29" s="22" t="s">
        <v>12</v>
      </c>
      <c r="C29" s="22"/>
      <c r="D29" s="22"/>
      <c r="E29" s="22"/>
      <c r="F29" s="22"/>
      <c r="G29" s="22"/>
      <c r="H29" s="22"/>
    </row>
    <row r="32" spans="2:16" x14ac:dyDescent="0.2">
      <c r="B32" s="4" t="s">
        <v>10</v>
      </c>
      <c r="C32" s="23">
        <f>PV(C7,C8,-C6)</f>
        <v>6494.215005946231</v>
      </c>
    </row>
    <row r="35" spans="11:16" x14ac:dyDescent="0.2">
      <c r="K35" s="24"/>
      <c r="L35" s="25"/>
      <c r="N35" s="25"/>
      <c r="O35" s="25"/>
      <c r="P35" s="26"/>
    </row>
  </sheetData>
  <phoneticPr fontId="11" type="noConversion"/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Present Value of Ord Annuity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2023-01-27T07:50:56Z</dcterms:modified>
</cp:coreProperties>
</file>