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Financial Analyst/14_Math for Finance/Files/"/>
    </mc:Choice>
  </mc:AlternateContent>
  <xr:revisionPtr revIDLastSave="10" documentId="13_ncr:1_{39698A6E-00CD-48F9-A93C-51E85137D719}" xr6:coauthVersionLast="47" xr6:coauthVersionMax="47" xr10:uidLastSave="{3554E0AE-5ED8-4E49-8275-9D2FB85B95B9}"/>
  <bookViews>
    <workbookView xWindow="-120" yWindow="-120" windowWidth="38640" windowHeight="21120" xr2:uid="{00000000-000D-0000-FFFF-FFFF00000000}"/>
  </bookViews>
  <sheets>
    <sheet name="Future Value of Annuity Due" sheetId="3" r:id="rId1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2" i="3" l="1"/>
  <c r="C23" i="3"/>
  <c r="E23" i="3"/>
  <c r="E32" i="3"/>
  <c r="C16" i="3" l="1"/>
  <c r="C17" i="3" s="1"/>
  <c r="E16" i="3"/>
  <c r="E17" i="3" s="1"/>
  <c r="F16" i="3"/>
  <c r="F17" i="3" s="1"/>
  <c r="G16" i="3"/>
  <c r="G17" i="3" s="1"/>
  <c r="D16" i="3"/>
  <c r="D17" i="3" s="1"/>
  <c r="G18" i="3" l="1"/>
</calcChain>
</file>

<file path=xl/sharedStrings.xml><?xml version="1.0" encoding="utf-8"?>
<sst xmlns="http://schemas.openxmlformats.org/spreadsheetml/2006/main" count="17" uniqueCount="15">
  <si>
    <t>Timeline</t>
  </si>
  <si>
    <t>Input Data</t>
  </si>
  <si>
    <t>Output</t>
  </si>
  <si>
    <t>Payment</t>
  </si>
  <si>
    <t>Discount rate/Period</t>
  </si>
  <si>
    <t>Number of Periods</t>
  </si>
  <si>
    <t>Period</t>
  </si>
  <si>
    <t>Cash Flows</t>
  </si>
  <si>
    <t>Future Value</t>
  </si>
  <si>
    <t>FV of Cash Flow</t>
  </si>
  <si>
    <t>Future Value of Annuity Due</t>
  </si>
  <si>
    <t>Method #1 (Annuity Due Future Value Using a Time Line)</t>
  </si>
  <si>
    <t>Method #2 (Annuity Due Future Value Using Formula)</t>
  </si>
  <si>
    <t>Method #3 (Annuity Due Future Value Using the PV Function)</t>
  </si>
  <si>
    <t>Task: Calculate the future value of an annuity due that pays $2,500 per year for 5 years using the data below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</si>
</sst>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13" x14ac:knownFonts="1"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b/>
      <sz val="9"/>
      <color rgb="FF0073B0"/>
      <name val="Arial"/>
      <family val="2"/>
    </font>
    <font>
      <b/>
      <sz val="9"/>
      <name val="Arial"/>
      <family val="2"/>
    </font>
    <font>
      <b/>
      <sz val="12"/>
      <color rgb="FF0073B0"/>
      <name val="Arial"/>
      <family val="2"/>
    </font>
    <font>
      <sz val="8"/>
      <name val="Arial Narrow"/>
      <family val="2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D9D9D9"/>
      </patternFill>
    </fill>
  </fills>
  <borders count="4">
    <border>
      <left/>
      <right/>
      <top/>
      <bottom/>
      <diagonal/>
    </border>
    <border>
      <left/>
      <right/>
      <top/>
      <bottom style="thick">
        <color rgb="FF0073B0"/>
      </bottom>
      <diagonal/>
    </border>
    <border>
      <left/>
      <right/>
      <top/>
      <bottom style="thin">
        <color rgb="FF0073B0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9">
    <xf numFmtId="0" fontId="0" fillId="0" borderId="0"/>
    <xf numFmtId="0" fontId="3" fillId="0" borderId="0" applyNumberFormat="0" applyFill="0" applyBorder="0" applyAlignment="0" applyProtection="0"/>
    <xf numFmtId="0" fontId="2" fillId="0" borderId="0"/>
    <xf numFmtId="0" fontId="4" fillId="0" borderId="0" applyNumberForma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</cellStyleXfs>
  <cellXfs count="25">
    <xf numFmtId="0" fontId="0" fillId="0" borderId="0" xfId="0"/>
    <xf numFmtId="49" fontId="6" fillId="2" borderId="1" xfId="4" applyNumberFormat="1" applyFont="1" applyFill="1" applyBorder="1" applyAlignment="1">
      <alignment wrapText="1"/>
    </xf>
    <xf numFmtId="49" fontId="6" fillId="2" borderId="1" xfId="4" applyNumberFormat="1" applyFont="1" applyFill="1" applyBorder="1" applyAlignment="1">
      <alignment horizontal="center" wrapText="1"/>
    </xf>
    <xf numFmtId="49" fontId="6" fillId="2" borderId="0" xfId="4" applyNumberFormat="1" applyFont="1" applyFill="1" applyAlignment="1">
      <alignment wrapText="1"/>
    </xf>
    <xf numFmtId="0" fontId="7" fillId="2" borderId="0" xfId="4" applyFont="1" applyFill="1"/>
    <xf numFmtId="7" fontId="7" fillId="2" borderId="0" xfId="4" applyNumberFormat="1" applyFont="1" applyFill="1"/>
    <xf numFmtId="0" fontId="8" fillId="2" borderId="0" xfId="4" applyFont="1" applyFill="1"/>
    <xf numFmtId="0" fontId="7" fillId="2" borderId="1" xfId="4" applyFont="1" applyFill="1" applyBorder="1"/>
    <xf numFmtId="0" fontId="7" fillId="2" borderId="0" xfId="4" applyFont="1" applyFill="1" applyAlignment="1">
      <alignment wrapText="1"/>
    </xf>
    <xf numFmtId="8" fontId="7" fillId="2" borderId="0" xfId="4" applyNumberFormat="1" applyFont="1" applyFill="1"/>
    <xf numFmtId="7" fontId="7" fillId="2" borderId="0" xfId="5" applyNumberFormat="1" applyFont="1" applyFill="1" applyBorder="1"/>
    <xf numFmtId="37" fontId="7" fillId="2" borderId="1" xfId="5" applyNumberFormat="1" applyFont="1" applyFill="1" applyBorder="1"/>
    <xf numFmtId="0" fontId="9" fillId="2" borderId="0" xfId="4" applyFont="1" applyFill="1" applyAlignment="1">
      <alignment horizontal="left" vertical="center"/>
    </xf>
    <xf numFmtId="0" fontId="9" fillId="2" borderId="0" xfId="4" applyFont="1" applyFill="1" applyAlignment="1">
      <alignment horizontal="left" vertical="center" wrapText="1"/>
    </xf>
    <xf numFmtId="0" fontId="10" fillId="2" borderId="0" xfId="2" applyFont="1" applyFill="1" applyAlignment="1">
      <alignment horizontal="left" vertical="center"/>
    </xf>
    <xf numFmtId="37" fontId="7" fillId="2" borderId="0" xfId="5" applyNumberFormat="1" applyFont="1" applyFill="1" applyBorder="1"/>
    <xf numFmtId="0" fontId="7" fillId="2" borderId="0" xfId="4" applyFont="1" applyFill="1" applyAlignment="1">
      <alignment horizontal="right"/>
    </xf>
    <xf numFmtId="8" fontId="6" fillId="2" borderId="0" xfId="4" applyNumberFormat="1" applyFont="1" applyFill="1" applyAlignment="1">
      <alignment horizontal="right" wrapText="1"/>
    </xf>
    <xf numFmtId="9" fontId="7" fillId="2" borderId="0" xfId="4" applyNumberFormat="1" applyFont="1" applyFill="1" applyAlignment="1">
      <alignment horizontal="right"/>
    </xf>
    <xf numFmtId="6" fontId="7" fillId="2" borderId="0" xfId="4" applyNumberFormat="1" applyFont="1" applyFill="1"/>
    <xf numFmtId="7" fontId="7" fillId="2" borderId="1" xfId="4" applyNumberFormat="1" applyFont="1" applyFill="1" applyBorder="1"/>
    <xf numFmtId="49" fontId="6" fillId="2" borderId="0" xfId="4" applyNumberFormat="1" applyFont="1" applyFill="1" applyAlignment="1">
      <alignment horizontal="center" wrapText="1"/>
    </xf>
    <xf numFmtId="0" fontId="7" fillId="2" borderId="2" xfId="4" applyFont="1" applyFill="1" applyBorder="1"/>
    <xf numFmtId="8" fontId="12" fillId="3" borderId="3" xfId="8" applyNumberFormat="1" applyFont="1" applyFill="1" applyBorder="1"/>
    <xf numFmtId="0" fontId="9" fillId="2" borderId="0" xfId="4" applyFont="1" applyFill="1"/>
  </cellXfs>
  <cellStyles count="9">
    <cellStyle name="Comma 2" xfId="7" xr:uid="{4B077D12-3928-4600-A400-DAFE7C142FC5}"/>
    <cellStyle name="Currency 2" xfId="5" xr:uid="{94FA024F-B916-408B-8C26-266C30588648}"/>
    <cellStyle name="Hyperlink 2 2" xfId="3" xr:uid="{5D7F0286-A486-4255-88A6-CC974082901D}"/>
    <cellStyle name="Hyperlink 3" xfId="1" xr:uid="{00000000-0005-0000-0000-000002000000}"/>
    <cellStyle name="Normal" xfId="0" builtinId="0"/>
    <cellStyle name="Normal 10" xfId="8" xr:uid="{B8F84CD4-14CE-4475-B497-047A896E5B1F}"/>
    <cellStyle name="Normal 2" xfId="4" xr:uid="{C8B3C472-5BD2-4D8A-84EF-2D0D0EC7CCA8}"/>
    <cellStyle name="Normal 2 2 2" xfId="2" xr:uid="{EB4610B0-F08F-4ACB-854F-11FB6CF4D53B}"/>
    <cellStyle name="Percent 2" xfId="6" xr:uid="{9E2C98EB-5F37-4587-8FEB-4069EA2B93AB}"/>
  </cellStyles>
  <dxfs count="0"/>
  <tableStyles count="0" defaultTableStyle="TableStyleMedium2" defaultPivotStyle="PivotStyleLight16"/>
  <colors>
    <mruColors>
      <color rgb="FF0073B0"/>
      <color rgb="FF0000FF"/>
      <color rgb="FF132E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22</xdr:row>
      <xdr:rowOff>76200</xdr:rowOff>
    </xdr:from>
    <xdr:to>
      <xdr:col>3</xdr:col>
      <xdr:colOff>590549</xdr:colOff>
      <xdr:row>22</xdr:row>
      <xdr:rowOff>76200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44F93A24-CFFD-4169-9E39-48B23FB57133}"/>
            </a:ext>
          </a:extLst>
        </xdr:cNvPr>
        <xdr:cNvCxnSpPr/>
      </xdr:nvCxnSpPr>
      <xdr:spPr>
        <a:xfrm flipH="1">
          <a:off x="2562225" y="3048000"/>
          <a:ext cx="51434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419100</xdr:colOff>
      <xdr:row>22</xdr:row>
      <xdr:rowOff>74295</xdr:rowOff>
    </xdr:from>
    <xdr:to>
      <xdr:col>7</xdr:col>
      <xdr:colOff>516254</xdr:colOff>
      <xdr:row>22</xdr:row>
      <xdr:rowOff>74295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B4BC14FA-03B2-4E85-9CAE-EEF6BF455E78}"/>
            </a:ext>
          </a:extLst>
        </xdr:cNvPr>
        <xdr:cNvCxnSpPr/>
      </xdr:nvCxnSpPr>
      <xdr:spPr>
        <a:xfrm flipH="1">
          <a:off x="4991100" y="3046095"/>
          <a:ext cx="79247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7</xdr:col>
      <xdr:colOff>462915</xdr:colOff>
      <xdr:row>20</xdr:row>
      <xdr:rowOff>110490</xdr:rowOff>
    </xdr:from>
    <xdr:to>
      <xdr:col>11</xdr:col>
      <xdr:colOff>345197</xdr:colOff>
      <xdr:row>24</xdr:row>
      <xdr:rowOff>18718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Object 3">
              <a:extLst>
                <a:ext uri="{FF2B5EF4-FFF2-40B4-BE49-F238E27FC236}">
                  <a16:creationId xmlns:a16="http://schemas.microsoft.com/office/drawing/2014/main" id="{8520C9F0-FC7C-4970-B404-BCF420131BBF}"/>
                </a:ext>
              </a:extLst>
            </xdr:cNvPr>
            <xdr:cNvSpPr txBox="1"/>
          </xdr:nvSpPr>
          <xdr:spPr>
            <a:xfrm>
              <a:off x="5730240" y="2796540"/>
              <a:ext cx="2092082" cy="479728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𝐹𝑉</m:t>
                        </m:r>
                      </m:e>
                      <m:sub>
                        <m:r>
                          <a:rPr lang="en-US" sz="110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𝑁</m:t>
                        </m:r>
                      </m:sub>
                    </m:sSub>
                    <m:r>
                      <a:rPr lang="en-US" sz="1100" i="1"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US" sz="1100" i="1"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𝐴</m:t>
                    </m:r>
                    <m:d>
                      <m:dPr>
                        <m:begChr m:val="["/>
                        <m:endChr m:val="]"/>
                        <m:ctrlPr>
                          <a:rPr lang="en-US" sz="110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sz="1100" i="1"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sSup>
                              <m:sSupPr>
                                <m:ctrlPr>
                                  <a:rPr lang="en-US" sz="1100" i="1"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d>
                                  <m:dPr>
                                    <m:ctrlPr>
                                      <a:rPr lang="en-US" sz="1100" i="1"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r>
                                      <a:rPr lang="en-US" sz="1100" i="1"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1+</m:t>
                                    </m:r>
                                    <m:r>
                                      <a:rPr lang="en-US" sz="1100" i="1"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𝑟</m:t>
                                    </m:r>
                                  </m:e>
                                </m:d>
                              </m:e>
                              <m:sup>
                                <m:r>
                                  <a:rPr lang="en-US" sz="1100" i="1"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𝑁</m:t>
                                </m:r>
                              </m:sup>
                            </m:sSup>
                            <m:r>
                              <a:rPr lang="en-US" sz="1100" i="1"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−1</m:t>
                            </m:r>
                          </m:num>
                          <m:den>
                            <m:r>
                              <a:rPr lang="en-US" sz="1100" i="1"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𝑟</m:t>
                            </m:r>
                          </m:den>
                        </m:f>
                      </m:e>
                    </m:d>
                    <m:d>
                      <m:dPr>
                        <m:ctrlPr>
                          <a:rPr lang="en-US" sz="110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en-US" sz="110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1+</m:t>
                        </m:r>
                        <m:r>
                          <a:rPr lang="en-US" sz="1100" i="1"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</m:d>
                  </m:oMath>
                </m:oMathPara>
              </a14:m>
              <a:endParaRPr lang="en-US" sz="1100"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4" name="Object 3">
              <a:extLst>
                <a:ext uri="{FF2B5EF4-FFF2-40B4-BE49-F238E27FC236}">
                  <a16:creationId xmlns:a16="http://schemas.microsoft.com/office/drawing/2014/main" id="{8520C9F0-FC7C-4970-B404-BCF420131BBF}"/>
                </a:ext>
              </a:extLst>
            </xdr:cNvPr>
            <xdr:cNvSpPr txBox="1"/>
          </xdr:nvSpPr>
          <xdr:spPr>
            <a:xfrm>
              <a:off x="5730240" y="2796540"/>
              <a:ext cx="2092082" cy="479728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r>
                <a:rPr lang="en-US" sz="1100" i="0">
                  <a:effectLst/>
                  <a:latin typeface="+mn-lt"/>
                  <a:ea typeface="+mn-ea"/>
                  <a:cs typeface="+mn-cs"/>
                </a:rPr>
                <a:t>〖𝐹𝑉〗_𝑁=𝐴[((1+𝑟)^𝑁−1)/𝑟](1+𝑟)</a:t>
              </a:r>
              <a:endParaRPr lang="en-US" sz="1100"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twoCellAnchor>
  <xdr:twoCellAnchor>
    <xdr:from>
      <xdr:col>3</xdr:col>
      <xdr:colOff>57150</xdr:colOff>
      <xdr:row>31</xdr:row>
      <xdr:rowOff>76200</xdr:rowOff>
    </xdr:from>
    <xdr:to>
      <xdr:col>3</xdr:col>
      <xdr:colOff>575309</xdr:colOff>
      <xdr:row>31</xdr:row>
      <xdr:rowOff>76200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11CD52D6-1D29-4889-9FDE-9A7F38531A35}"/>
            </a:ext>
          </a:extLst>
        </xdr:cNvPr>
        <xdr:cNvCxnSpPr/>
      </xdr:nvCxnSpPr>
      <xdr:spPr>
        <a:xfrm flipH="1">
          <a:off x="2543175" y="4333875"/>
          <a:ext cx="51815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82A6F-37D2-4DA4-B2E0-DA6F9C7F9EB5}">
  <dimension ref="B1:I32"/>
  <sheetViews>
    <sheetView tabSelected="1" workbookViewId="0">
      <selection activeCell="N15" sqref="N15"/>
    </sheetView>
  </sheetViews>
  <sheetFormatPr defaultColWidth="9" defaultRowHeight="12" x14ac:dyDescent="0.2"/>
  <cols>
    <col min="1" max="1" width="1.85546875" style="4" customWidth="1"/>
    <col min="2" max="2" width="25.7109375" style="4" bestFit="1" customWidth="1"/>
    <col min="3" max="3" width="13.140625" style="4" customWidth="1"/>
    <col min="4" max="7" width="11.42578125" style="4" bestFit="1" customWidth="1"/>
    <col min="8" max="24" width="9" style="4"/>
    <col min="25" max="25" width="9" style="4" customWidth="1"/>
    <col min="26" max="16384" width="9" style="4"/>
  </cols>
  <sheetData>
    <row r="1" spans="2:9" ht="13.15" customHeight="1" x14ac:dyDescent="0.2">
      <c r="B1" s="14" t="s">
        <v>10</v>
      </c>
      <c r="E1" s="12"/>
      <c r="F1" s="13"/>
      <c r="G1" s="12"/>
    </row>
    <row r="2" spans="2:9" ht="12.75" customHeight="1" x14ac:dyDescent="0.2"/>
    <row r="3" spans="2:9" ht="12.75" customHeight="1" x14ac:dyDescent="0.2">
      <c r="B3" s="24" t="s">
        <v>14</v>
      </c>
    </row>
    <row r="4" spans="2:9" ht="12.75" customHeight="1" x14ac:dyDescent="0.2"/>
    <row r="5" spans="2:9" ht="12.75" thickBot="1" x14ac:dyDescent="0.25">
      <c r="B5" s="1" t="s">
        <v>1</v>
      </c>
      <c r="C5" s="2"/>
      <c r="D5" s="7"/>
      <c r="E5" s="7"/>
      <c r="F5" s="20"/>
      <c r="G5" s="7"/>
      <c r="H5" s="7"/>
      <c r="I5" s="7"/>
    </row>
    <row r="6" spans="2:9" ht="12.75" thickTop="1" x14ac:dyDescent="0.2">
      <c r="B6" s="3" t="s">
        <v>3</v>
      </c>
      <c r="C6" s="17">
        <v>2500</v>
      </c>
      <c r="F6" s="5"/>
    </row>
    <row r="7" spans="2:9" x14ac:dyDescent="0.2">
      <c r="B7" s="4" t="s">
        <v>4</v>
      </c>
      <c r="C7" s="18">
        <v>0.08</v>
      </c>
      <c r="F7" s="5"/>
    </row>
    <row r="8" spans="2:9" x14ac:dyDescent="0.2">
      <c r="B8" s="4" t="s">
        <v>5</v>
      </c>
      <c r="C8" s="16">
        <v>5</v>
      </c>
      <c r="F8" s="5"/>
    </row>
    <row r="10" spans="2:9" ht="12.75" thickBot="1" x14ac:dyDescent="0.25">
      <c r="B10" s="1" t="s">
        <v>2</v>
      </c>
      <c r="C10" s="2"/>
      <c r="D10" s="7"/>
      <c r="E10" s="7"/>
      <c r="F10" s="20"/>
      <c r="G10" s="7"/>
      <c r="H10" s="7"/>
      <c r="I10" s="7"/>
    </row>
    <row r="11" spans="2:9" ht="12.75" thickTop="1" x14ac:dyDescent="0.2">
      <c r="B11" s="3"/>
      <c r="C11" s="21"/>
      <c r="F11" s="5"/>
    </row>
    <row r="12" spans="2:9" x14ac:dyDescent="0.2">
      <c r="B12" s="22" t="s">
        <v>11</v>
      </c>
      <c r="C12" s="22"/>
      <c r="D12" s="22"/>
      <c r="E12" s="22"/>
      <c r="F12" s="22"/>
      <c r="G12" s="22"/>
      <c r="H12" s="22"/>
      <c r="I12" s="22"/>
    </row>
    <row r="13" spans="2:9" x14ac:dyDescent="0.2">
      <c r="C13" s="15"/>
      <c r="E13" s="15"/>
      <c r="G13" s="15"/>
    </row>
    <row r="14" spans="2:9" x14ac:dyDescent="0.2">
      <c r="B14" s="6" t="s">
        <v>0</v>
      </c>
      <c r="C14" s="10"/>
    </row>
    <row r="15" spans="2:9" ht="12.75" thickBot="1" x14ac:dyDescent="0.25">
      <c r="B15" s="7" t="s">
        <v>6</v>
      </c>
      <c r="C15" s="11">
        <v>0</v>
      </c>
      <c r="D15" s="7">
        <v>1</v>
      </c>
      <c r="E15" s="11">
        <v>2</v>
      </c>
      <c r="F15" s="11">
        <v>3</v>
      </c>
      <c r="G15" s="7">
        <v>4</v>
      </c>
      <c r="H15" s="11">
        <v>5</v>
      </c>
    </row>
    <row r="16" spans="2:9" ht="12.75" thickTop="1" x14ac:dyDescent="0.2">
      <c r="B16" s="4" t="s">
        <v>7</v>
      </c>
      <c r="C16" s="19">
        <f>$C$6</f>
        <v>2500</v>
      </c>
      <c r="D16" s="19">
        <f t="shared" ref="D16:G16" si="0">$C$6</f>
        <v>2500</v>
      </c>
      <c r="E16" s="19">
        <f t="shared" si="0"/>
        <v>2500</v>
      </c>
      <c r="F16" s="19">
        <f t="shared" si="0"/>
        <v>2500</v>
      </c>
      <c r="G16" s="19">
        <f t="shared" si="0"/>
        <v>2500</v>
      </c>
      <c r="H16" s="19"/>
    </row>
    <row r="17" spans="2:9" x14ac:dyDescent="0.2">
      <c r="B17" s="8" t="s">
        <v>9</v>
      </c>
      <c r="C17" s="5">
        <f>C16*(1+$C$7)^($H$15-C15)</f>
        <v>3673.320192000001</v>
      </c>
      <c r="D17" s="5">
        <f t="shared" ref="D17:G17" si="1">D16*(1+$C$7)^($H$15-D15)</f>
        <v>3401.2224000000006</v>
      </c>
      <c r="E17" s="5">
        <f t="shared" si="1"/>
        <v>3149.28</v>
      </c>
      <c r="F17" s="5">
        <f t="shared" si="1"/>
        <v>2916.0000000000005</v>
      </c>
      <c r="G17" s="5">
        <f t="shared" si="1"/>
        <v>2700</v>
      </c>
      <c r="H17" s="5"/>
    </row>
    <row r="18" spans="2:9" x14ac:dyDescent="0.2">
      <c r="B18" s="4" t="s">
        <v>8</v>
      </c>
      <c r="D18" s="9"/>
      <c r="E18" s="9"/>
      <c r="F18" s="9"/>
      <c r="G18" s="23">
        <f>SUM(C17:H17)</f>
        <v>15839.822592000002</v>
      </c>
    </row>
    <row r="19" spans="2:9" x14ac:dyDescent="0.2">
      <c r="C19" s="9"/>
      <c r="D19" s="9"/>
      <c r="E19" s="9"/>
      <c r="F19" s="9"/>
      <c r="G19" s="9"/>
    </row>
    <row r="20" spans="2:9" x14ac:dyDescent="0.2">
      <c r="C20" s="9"/>
      <c r="D20" s="5"/>
      <c r="E20" s="5"/>
      <c r="F20" s="5"/>
      <c r="G20" s="5"/>
    </row>
    <row r="21" spans="2:9" x14ac:dyDescent="0.2">
      <c r="B21" s="22" t="s">
        <v>12</v>
      </c>
      <c r="C21" s="22"/>
      <c r="D21" s="22"/>
      <c r="E21" s="22"/>
      <c r="F21" s="22"/>
      <c r="G21" s="22"/>
      <c r="H21" s="22"/>
      <c r="I21" s="22"/>
    </row>
    <row r="23" spans="2:9" x14ac:dyDescent="0.2">
      <c r="B23" s="4" t="s">
        <v>8</v>
      </c>
      <c r="C23" s="23">
        <f>(C6*(((1+C7)^C8)-1)/C7)*(1+C7)</f>
        <v>15839.822592000011</v>
      </c>
      <c r="E23" s="4" t="str">
        <f ca="1">_xlfn.FORMULATEXT(C23)</f>
        <v>=(C6*(((1+C7)^C8)-1)/C7)*(1+C7)</v>
      </c>
    </row>
    <row r="29" spans="2:9" x14ac:dyDescent="0.2">
      <c r="B29" s="22" t="s">
        <v>13</v>
      </c>
      <c r="C29" s="22"/>
      <c r="D29" s="22"/>
      <c r="E29" s="22"/>
      <c r="F29" s="22"/>
      <c r="G29" s="22"/>
      <c r="H29" s="22"/>
      <c r="I29" s="22"/>
    </row>
    <row r="32" spans="2:9" x14ac:dyDescent="0.2">
      <c r="B32" s="4" t="s">
        <v>8</v>
      </c>
      <c r="C32" s="23">
        <f>-FV(C7,C8,C6,0,1)</f>
        <v>15839.822592000013</v>
      </c>
      <c r="E32" s="4" t="str">
        <f ca="1">_xlfn.FORMULATEXT(C32)</f>
        <v>=-FV(C7,C8,C6,0,1)</v>
      </c>
    </row>
  </sheetData>
  <phoneticPr fontId="11" type="noConversion"/>
  <printOptions gridLines="1"/>
  <pageMargins left="0.75" right="0.75" top="1" bottom="1" header="0.5" footer="0.5"/>
  <pageSetup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Future Value of Annuity Due</vt:lpstr>
    </vt:vector>
  </TitlesOfParts>
  <Company>365 Financial Analyst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Financial Analyst</dc:creator>
  <cp:lastModifiedBy>Ivan Kitov</cp:lastModifiedBy>
  <dcterms:created xsi:type="dcterms:W3CDTF">2017-08-22T21:42:52Z</dcterms:created>
  <dcterms:modified xsi:type="dcterms:W3CDTF">2023-01-27T08:08:56Z</dcterms:modified>
</cp:coreProperties>
</file>