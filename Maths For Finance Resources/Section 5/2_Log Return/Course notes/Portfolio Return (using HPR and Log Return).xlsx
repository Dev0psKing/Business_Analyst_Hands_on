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1_Portfolio Management/Files/"/>
    </mc:Choice>
  </mc:AlternateContent>
  <xr:revisionPtr revIDLastSave="45" documentId="8_{AD5D7F05-C25A-4255-B412-624462ECAF7A}" xr6:coauthVersionLast="47" xr6:coauthVersionMax="47" xr10:uidLastSave="{AFFBC8E7-8CE7-4C31-A9A0-07EF40CCF2E3}"/>
  <bookViews>
    <workbookView xWindow="-28920" yWindow="-3765" windowWidth="29040" windowHeight="15720" xr2:uid="{00000000-000D-0000-FFFF-FFFF00000000}"/>
  </bookViews>
  <sheets>
    <sheet name="Portfolio Retur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9" i="2" l="1"/>
  <c r="I9" i="2"/>
  <c r="J5" i="2"/>
  <c r="J6" i="2"/>
  <c r="J7" i="2"/>
  <c r="J8" i="2"/>
  <c r="J4" i="2"/>
  <c r="I5" i="2"/>
  <c r="I6" i="2"/>
  <c r="I7" i="2"/>
  <c r="I8" i="2"/>
  <c r="I4" i="2"/>
  <c r="F5" i="2"/>
  <c r="H5" i="2" s="1"/>
  <c r="F6" i="2"/>
  <c r="H6" i="2" s="1"/>
  <c r="F7" i="2"/>
  <c r="H7" i="2" s="1"/>
  <c r="F8" i="2"/>
  <c r="H8" i="2" s="1"/>
  <c r="F4" i="2"/>
  <c r="H4" i="2" s="1"/>
  <c r="C9" i="2"/>
  <c r="D7" i="2" s="1"/>
  <c r="H9" i="2" l="1"/>
  <c r="D4" i="2"/>
  <c r="D5" i="2"/>
  <c r="D6" i="2"/>
  <c r="D8" i="2"/>
  <c r="D9" i="2" l="1"/>
</calcChain>
</file>

<file path=xl/sharedStrings.xml><?xml version="1.0" encoding="utf-8"?>
<sst xmlns="http://schemas.openxmlformats.org/spreadsheetml/2006/main" count="15" uniqueCount="15">
  <si>
    <t>Stock A</t>
  </si>
  <si>
    <t>Stock B</t>
  </si>
  <si>
    <t>Stock C</t>
  </si>
  <si>
    <t>Stock D</t>
  </si>
  <si>
    <t>Weight</t>
  </si>
  <si>
    <t>Stock E</t>
  </si>
  <si>
    <t>Holding Period Return</t>
  </si>
  <si>
    <t>Logarithmic Return</t>
  </si>
  <si>
    <t>Portfolio</t>
  </si>
  <si>
    <t>Initial Stock Price</t>
  </si>
  <si>
    <t>Ending Value</t>
  </si>
  <si>
    <t>Ending Stock Price</t>
  </si>
  <si>
    <t>Number of Stocks Acquired</t>
  </si>
  <si>
    <t>Initial Value</t>
  </si>
  <si>
    <t>Portfolio Return (using HPR and Log Return)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</si>
</sst>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73B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5" xfId="0" applyFont="1" applyFill="1" applyBorder="1" applyAlignment="1">
      <alignment horizontal="center"/>
    </xf>
    <xf numFmtId="6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10" fontId="2" fillId="2" borderId="3" xfId="1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6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10" fontId="2" fillId="2" borderId="1" xfId="1" applyNumberFormat="1" applyFont="1" applyFill="1" applyBorder="1" applyAlignment="1">
      <alignment horizontal="center"/>
    </xf>
    <xf numFmtId="6" fontId="2" fillId="2" borderId="1" xfId="1" applyNumberFormat="1" applyFont="1" applyFill="1" applyBorder="1" applyAlignment="1">
      <alignment horizontal="center"/>
    </xf>
    <xf numFmtId="10" fontId="2" fillId="3" borderId="4" xfId="1" applyNumberFormat="1" applyFont="1" applyFill="1" applyBorder="1" applyAlignment="1">
      <alignment horizontal="center"/>
    </xf>
    <xf numFmtId="0" fontId="4" fillId="2" borderId="0" xfId="2" applyFont="1" applyFill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 2 2" xfId="2" xr:uid="{D34A5ABB-2AD7-408A-9258-BAE50C0095D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"/>
  <sheetViews>
    <sheetView tabSelected="1" zoomScale="140" zoomScaleNormal="140" workbookViewId="0"/>
  </sheetViews>
  <sheetFormatPr defaultColWidth="9.109375" defaultRowHeight="11.4" x14ac:dyDescent="0.2"/>
  <cols>
    <col min="1" max="1" width="2" style="2" customWidth="1"/>
    <col min="2" max="2" width="11.109375" style="1" customWidth="1"/>
    <col min="3" max="3" width="13.21875" style="1" customWidth="1"/>
    <col min="4" max="4" width="11.109375" style="1" customWidth="1"/>
    <col min="5" max="5" width="17.109375" style="1" customWidth="1"/>
    <col min="6" max="6" width="17.33203125" style="1" customWidth="1"/>
    <col min="7" max="8" width="20.109375" style="1" customWidth="1"/>
    <col min="9" max="9" width="14.88671875" style="2" customWidth="1"/>
    <col min="10" max="10" width="14.44140625" style="2" customWidth="1"/>
    <col min="11" max="13" width="9.109375" style="2"/>
    <col min="14" max="14" width="19.44140625" style="2" customWidth="1"/>
    <col min="15" max="17" width="9.109375" style="2"/>
    <col min="18" max="18" width="13.33203125" style="2" customWidth="1"/>
    <col min="19" max="16384" width="9.109375" style="2"/>
  </cols>
  <sheetData>
    <row r="1" spans="2:10" ht="15.6" x14ac:dyDescent="0.2">
      <c r="B1" s="15" t="s">
        <v>14</v>
      </c>
    </row>
    <row r="2" spans="2:10" ht="34.799999999999997" customHeight="1" thickBot="1" x14ac:dyDescent="0.25">
      <c r="B2" s="2"/>
      <c r="C2" s="2"/>
      <c r="D2" s="2"/>
      <c r="E2" s="2"/>
      <c r="F2" s="2"/>
      <c r="G2" s="2"/>
      <c r="H2" s="2"/>
    </row>
    <row r="3" spans="2:10" ht="24.6" thickBot="1" x14ac:dyDescent="0.25">
      <c r="B3" s="16"/>
      <c r="C3" s="17" t="s">
        <v>13</v>
      </c>
      <c r="D3" s="17" t="s">
        <v>4</v>
      </c>
      <c r="E3" s="17" t="s">
        <v>9</v>
      </c>
      <c r="F3" s="17" t="s">
        <v>12</v>
      </c>
      <c r="G3" s="17" t="s">
        <v>11</v>
      </c>
      <c r="H3" s="17" t="s">
        <v>10</v>
      </c>
      <c r="I3" s="17" t="s">
        <v>6</v>
      </c>
      <c r="J3" s="18" t="s">
        <v>7</v>
      </c>
    </row>
    <row r="4" spans="2:10" ht="12" x14ac:dyDescent="0.25">
      <c r="B4" s="3" t="s">
        <v>0</v>
      </c>
      <c r="C4" s="4">
        <v>1000</v>
      </c>
      <c r="D4" s="5">
        <f>C4/$C$9</f>
        <v>0.2</v>
      </c>
      <c r="E4" s="4">
        <v>100</v>
      </c>
      <c r="F4" s="6">
        <f>C4/E4</f>
        <v>10</v>
      </c>
      <c r="G4" s="4">
        <v>140</v>
      </c>
      <c r="H4" s="4">
        <f>G4*F4</f>
        <v>1400</v>
      </c>
      <c r="I4" s="7">
        <f>(G4-E4)/E4</f>
        <v>0.4</v>
      </c>
      <c r="J4" s="8">
        <f>LN(G4/E4)</f>
        <v>0.33647223662121289</v>
      </c>
    </row>
    <row r="5" spans="2:10" ht="12" x14ac:dyDescent="0.25">
      <c r="B5" s="3" t="s">
        <v>1</v>
      </c>
      <c r="C5" s="4">
        <v>1000</v>
      </c>
      <c r="D5" s="5">
        <f>C5/$C$9</f>
        <v>0.2</v>
      </c>
      <c r="E5" s="4">
        <v>200</v>
      </c>
      <c r="F5" s="6">
        <f t="shared" ref="F5:F8" si="0">C5/E5</f>
        <v>5</v>
      </c>
      <c r="G5" s="4">
        <v>220</v>
      </c>
      <c r="H5" s="4">
        <f t="shared" ref="H5:H8" si="1">G5*F5</f>
        <v>1100</v>
      </c>
      <c r="I5" s="7">
        <f t="shared" ref="I5:I8" si="2">(G5-E5)/E5</f>
        <v>0.1</v>
      </c>
      <c r="J5" s="8">
        <f t="shared" ref="J5:J8" si="3">LN(G5/E5)</f>
        <v>9.5310179804324935E-2</v>
      </c>
    </row>
    <row r="6" spans="2:10" ht="12" x14ac:dyDescent="0.25">
      <c r="B6" s="3" t="s">
        <v>2</v>
      </c>
      <c r="C6" s="4">
        <v>1000</v>
      </c>
      <c r="D6" s="5">
        <f>C6/$C$9</f>
        <v>0.2</v>
      </c>
      <c r="E6" s="4">
        <v>20</v>
      </c>
      <c r="F6" s="6">
        <f t="shared" si="0"/>
        <v>50</v>
      </c>
      <c r="G6" s="4">
        <v>24</v>
      </c>
      <c r="H6" s="4">
        <f t="shared" si="1"/>
        <v>1200</v>
      </c>
      <c r="I6" s="7">
        <f t="shared" si="2"/>
        <v>0.2</v>
      </c>
      <c r="J6" s="8">
        <f t="shared" si="3"/>
        <v>0.18232155679395459</v>
      </c>
    </row>
    <row r="7" spans="2:10" ht="12" x14ac:dyDescent="0.25">
      <c r="B7" s="3" t="s">
        <v>3</v>
      </c>
      <c r="C7" s="4">
        <v>1000</v>
      </c>
      <c r="D7" s="5">
        <f>C7/$C$9</f>
        <v>0.2</v>
      </c>
      <c r="E7" s="4">
        <v>40</v>
      </c>
      <c r="F7" s="6">
        <f t="shared" si="0"/>
        <v>25</v>
      </c>
      <c r="G7" s="4">
        <v>50</v>
      </c>
      <c r="H7" s="4">
        <f t="shared" si="1"/>
        <v>1250</v>
      </c>
      <c r="I7" s="7">
        <f t="shared" si="2"/>
        <v>0.25</v>
      </c>
      <c r="J7" s="8">
        <f t="shared" si="3"/>
        <v>0.22314355131420976</v>
      </c>
    </row>
    <row r="8" spans="2:10" ht="12.6" thickBot="1" x14ac:dyDescent="0.3">
      <c r="B8" s="3" t="s">
        <v>5</v>
      </c>
      <c r="C8" s="4">
        <v>1000</v>
      </c>
      <c r="D8" s="5">
        <f>C8/$C$9</f>
        <v>0.2</v>
      </c>
      <c r="E8" s="4">
        <v>50</v>
      </c>
      <c r="F8" s="6">
        <f t="shared" si="0"/>
        <v>20</v>
      </c>
      <c r="G8" s="4">
        <v>35</v>
      </c>
      <c r="H8" s="4">
        <f t="shared" si="1"/>
        <v>700</v>
      </c>
      <c r="I8" s="7">
        <f t="shared" si="2"/>
        <v>-0.3</v>
      </c>
      <c r="J8" s="8">
        <f t="shared" si="3"/>
        <v>-0.35667494393873245</v>
      </c>
    </row>
    <row r="9" spans="2:10" ht="12.6" thickBot="1" x14ac:dyDescent="0.3">
      <c r="B9" s="9" t="s">
        <v>8</v>
      </c>
      <c r="C9" s="10">
        <f>SUM(C4:C8)</f>
        <v>5000</v>
      </c>
      <c r="D9" s="11">
        <f>SUM(D4:D8)</f>
        <v>1</v>
      </c>
      <c r="E9" s="12"/>
      <c r="F9" s="12"/>
      <c r="G9" s="12"/>
      <c r="H9" s="13">
        <f>SUM(H4:H8)</f>
        <v>5650</v>
      </c>
      <c r="I9" s="14">
        <f>SUMPRODUCT($D$4:$D$8,I4:I8)</f>
        <v>0.13</v>
      </c>
      <c r="J9" s="14">
        <f>SUMPRODUCT($D$4:$D$8,J4:J8)</f>
        <v>9.6114516118993965E-2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Returns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Guan</dc:creator>
  <cp:lastModifiedBy>Ivan Kitov</cp:lastModifiedBy>
  <dcterms:created xsi:type="dcterms:W3CDTF">2018-09-03T06:35:42Z</dcterms:created>
  <dcterms:modified xsi:type="dcterms:W3CDTF">2023-01-17T08:30:26Z</dcterms:modified>
</cp:coreProperties>
</file>