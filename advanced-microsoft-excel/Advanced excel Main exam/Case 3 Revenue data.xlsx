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NewPC20\Desktop\6. Advanced Excel\Data files\6.1\"/>
    </mc:Choice>
  </mc:AlternateContent>
  <xr:revisionPtr revIDLastSave="0" documentId="13_ncr:1_{AF137CE2-C4EC-494A-9F2B-76729637AD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1." sheetId="4" r:id="rId2"/>
    <sheet name="2." sheetId="5" r:id="rId3"/>
    <sheet name="3." sheetId="3" r:id="rId4"/>
    <sheet name="4." sheetId="2" r:id="rId5"/>
    <sheet name="5." sheetId="6" r:id="rId6"/>
    <sheet name="6.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8" l="1"/>
  <c r="F4" i="8"/>
  <c r="E4" i="8"/>
  <c r="D4" i="8"/>
  <c r="G3" i="8"/>
  <c r="F3" i="8"/>
  <c r="E3" i="8"/>
  <c r="D3" i="8"/>
  <c r="G2" i="8"/>
  <c r="F2" i="8"/>
  <c r="F5" i="8" s="1"/>
  <c r="E2" i="8"/>
  <c r="D2" i="8"/>
  <c r="B2" i="3"/>
  <c r="G5" i="8" l="1"/>
  <c r="D5" i="8"/>
  <c r="E5" i="8"/>
  <c r="G4" i="6"/>
  <c r="G3" i="6"/>
  <c r="G2" i="6"/>
  <c r="F4" i="6"/>
  <c r="F3" i="6"/>
  <c r="F2" i="6"/>
  <c r="E4" i="6"/>
  <c r="E3" i="6"/>
  <c r="E2" i="6"/>
  <c r="D4" i="6"/>
  <c r="D3" i="6"/>
  <c r="D2" i="6"/>
  <c r="E5" i="6" l="1"/>
  <c r="G5" i="6"/>
  <c r="F5" i="6"/>
  <c r="D5" i="6"/>
</calcChain>
</file>

<file path=xl/sharedStrings.xml><?xml version="1.0" encoding="utf-8"?>
<sst xmlns="http://schemas.openxmlformats.org/spreadsheetml/2006/main" count="70" uniqueCount="31">
  <si>
    <t>Field</t>
  </si>
  <si>
    <t>Mnemonic</t>
  </si>
  <si>
    <t>For the period ending</t>
  </si>
  <si>
    <t>original</t>
  </si>
  <si>
    <t>restated</t>
  </si>
  <si>
    <t>Revenue</t>
  </si>
  <si>
    <t>SALES_REV_TURN</t>
  </si>
  <si>
    <t>  Product/Brand Segments</t>
  </si>
  <si>
    <t>    Automobiles</t>
  </si>
  <si>
    <t>    Financial Services</t>
  </si>
  <si>
    <t>    Motorcycles</t>
  </si>
  <si>
    <t>    Other Entities</t>
  </si>
  <si>
    <t>    Reconciliations</t>
  </si>
  <si>
    <t>  Geographic Segments</t>
  </si>
  <si>
    <t>    Rest of Europe</t>
  </si>
  <si>
    <t>    Americas</t>
  </si>
  <si>
    <t>      United States of America</t>
  </si>
  <si>
    <t>      Rest of America</t>
  </si>
  <si>
    <t>    China</t>
  </si>
  <si>
    <t>    Germany</t>
  </si>
  <si>
    <t>    Other Markets</t>
  </si>
  <si>
    <t>    Eliminations</t>
  </si>
  <si>
    <t>    United Kingdom</t>
  </si>
  <si>
    <t>    Africa, Asia, Oceania</t>
  </si>
  <si>
    <t>FY 2020</t>
  </si>
  <si>
    <t>FY 2019</t>
  </si>
  <si>
    <t>FY 2018</t>
  </si>
  <si>
    <t>FY 2017</t>
  </si>
  <si>
    <t>Total Revenues</t>
  </si>
  <si>
    <t>Row number</t>
  </si>
  <si>
    <t>Key Revenue Items ($bn)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</si>
</sst>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_);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8"/>
      <name val="Arial"/>
      <family val="2"/>
    </font>
    <font>
      <b/>
      <sz val="9"/>
      <color indexed="18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18"/>
      </bottom>
      <diagonal/>
    </border>
  </borders>
  <cellStyleXfs count="3">
    <xf numFmtId="0" fontId="0" fillId="0" borderId="0"/>
    <xf numFmtId="0" fontId="1" fillId="0" borderId="0"/>
    <xf numFmtId="0" fontId="2" fillId="0" borderId="1" applyNumberFormat="0" applyFill="0" applyProtection="0">
      <alignment horizontal="center"/>
    </xf>
  </cellStyleXfs>
  <cellXfs count="16">
    <xf numFmtId="0" fontId="0" fillId="0" borderId="0" xfId="0"/>
    <xf numFmtId="0" fontId="1" fillId="0" borderId="0" xfId="1"/>
    <xf numFmtId="14" fontId="1" fillId="0" borderId="0" xfId="1" applyNumberFormat="1"/>
    <xf numFmtId="0" fontId="3" fillId="2" borderId="1" xfId="2" applyFont="1" applyFill="1" applyAlignment="1">
      <alignment horizontal="left"/>
    </xf>
    <xf numFmtId="0" fontId="3" fillId="2" borderId="1" xfId="2" applyFont="1" applyFill="1" applyAlignment="1">
      <alignment horizontal="right"/>
    </xf>
    <xf numFmtId="0" fontId="4" fillId="2" borderId="0" xfId="0" applyFont="1" applyFill="1"/>
    <xf numFmtId="0" fontId="5" fillId="2" borderId="0" xfId="0" applyFont="1" applyFill="1"/>
    <xf numFmtId="164" fontId="5" fillId="2" borderId="0" xfId="0" applyNumberFormat="1" applyFont="1" applyFill="1" applyAlignment="1">
      <alignment horizontal="right"/>
    </xf>
    <xf numFmtId="0" fontId="6" fillId="3" borderId="0" xfId="0" applyFont="1" applyFill="1"/>
    <xf numFmtId="0" fontId="5" fillId="3" borderId="0" xfId="0" applyFont="1" applyFill="1"/>
    <xf numFmtId="164" fontId="6" fillId="3" borderId="0" xfId="0" applyNumberFormat="1" applyFont="1" applyFill="1" applyAlignment="1">
      <alignment horizontal="right"/>
    </xf>
    <xf numFmtId="0" fontId="0" fillId="2" borderId="0" xfId="0" applyFill="1"/>
    <xf numFmtId="0" fontId="1" fillId="2" borderId="0" xfId="1" applyFill="1"/>
    <xf numFmtId="0" fontId="1" fillId="0" borderId="0" xfId="1" applyAlignment="1">
      <alignment horizontal="left"/>
    </xf>
    <xf numFmtId="164" fontId="6" fillId="2" borderId="0" xfId="0" applyNumberFormat="1" applyFont="1" applyFill="1" applyAlignment="1">
      <alignment horizontal="right"/>
    </xf>
    <xf numFmtId="0" fontId="1" fillId="2" borderId="0" xfId="1" applyFill="1" applyAlignment="1">
      <alignment horizontal="left"/>
    </xf>
  </cellXfs>
  <cellStyles count="3">
    <cellStyle name="_TableHead" xfId="2" xr:uid="{1CD60ED0-70C6-4DE1-B233-9AD19D175D8F}"/>
    <cellStyle name="Normal" xfId="0" builtinId="0"/>
    <cellStyle name="Normal 2" xfId="1" xr:uid="{75192F47-EF10-4D2A-8DC9-CCE8A1D30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/>
  </sheetViews>
  <sheetFormatPr defaultRowHeight="15" x14ac:dyDescent="0.25"/>
  <cols>
    <col min="1" max="1" width="33.5703125" bestFit="1" customWidth="1"/>
    <col min="2" max="2" width="33.5703125" customWidth="1"/>
    <col min="3" max="3" width="37.5703125" bestFit="1" customWidth="1"/>
    <col min="4" max="4" width="12" bestFit="1" customWidth="1"/>
    <col min="5" max="7" width="11" bestFit="1" customWidth="1"/>
  </cols>
  <sheetData>
    <row r="1" spans="1:7" x14ac:dyDescent="0.25">
      <c r="D1">
        <v>4</v>
      </c>
      <c r="E1">
        <v>3</v>
      </c>
      <c r="F1">
        <v>2</v>
      </c>
      <c r="G1">
        <v>1</v>
      </c>
    </row>
    <row r="2" spans="1:7" x14ac:dyDescent="0.25">
      <c r="A2" s="1" t="s">
        <v>0</v>
      </c>
      <c r="B2" s="1" t="s">
        <v>29</v>
      </c>
      <c r="C2" s="1" t="s">
        <v>1</v>
      </c>
      <c r="D2" s="1" t="s">
        <v>24</v>
      </c>
      <c r="E2" s="1" t="s">
        <v>25</v>
      </c>
      <c r="F2" s="1" t="s">
        <v>26</v>
      </c>
      <c r="G2" s="1" t="s">
        <v>27</v>
      </c>
    </row>
    <row r="3" spans="1:7" x14ac:dyDescent="0.25">
      <c r="A3" s="1" t="s">
        <v>2</v>
      </c>
      <c r="B3" s="13"/>
      <c r="C3" s="1"/>
      <c r="D3" s="2">
        <v>44196</v>
      </c>
      <c r="E3" s="2">
        <v>43830</v>
      </c>
      <c r="F3" s="2">
        <v>43465</v>
      </c>
      <c r="G3" s="2">
        <v>43100</v>
      </c>
    </row>
    <row r="4" spans="1:7" x14ac:dyDescent="0.25">
      <c r="A4" s="1"/>
      <c r="B4" s="13"/>
      <c r="C4" s="1"/>
      <c r="D4" s="1" t="s">
        <v>3</v>
      </c>
      <c r="E4" s="1" t="s">
        <v>4</v>
      </c>
      <c r="F4" s="1" t="s">
        <v>4</v>
      </c>
      <c r="G4" s="1" t="s">
        <v>4</v>
      </c>
    </row>
    <row r="5" spans="1:7" x14ac:dyDescent="0.25">
      <c r="A5" s="1" t="s">
        <v>5</v>
      </c>
      <c r="B5" s="13">
        <v>1</v>
      </c>
      <c r="C5" s="1" t="s">
        <v>6</v>
      </c>
      <c r="D5" s="1">
        <v>101028.91959999999</v>
      </c>
      <c r="E5" s="1">
        <v>98816.958199999994</v>
      </c>
      <c r="F5" s="1">
        <v>95826.916299999997</v>
      </c>
      <c r="G5" s="1">
        <v>80229.691800000001</v>
      </c>
    </row>
    <row r="6" spans="1:7" x14ac:dyDescent="0.25">
      <c r="A6" s="1" t="s">
        <v>7</v>
      </c>
      <c r="B6" s="13">
        <v>2</v>
      </c>
      <c r="C6" s="1" t="s">
        <v>6</v>
      </c>
      <c r="D6" s="1">
        <v>101028.92</v>
      </c>
      <c r="E6" s="1">
        <v>98816.960000000006</v>
      </c>
      <c r="F6" s="1">
        <v>95826.92</v>
      </c>
      <c r="G6" s="1">
        <v>80229.69</v>
      </c>
    </row>
    <row r="7" spans="1:7" x14ac:dyDescent="0.25">
      <c r="A7" s="1" t="s">
        <v>8</v>
      </c>
      <c r="B7" s="13">
        <v>3</v>
      </c>
      <c r="C7" s="1"/>
      <c r="D7" s="1">
        <v>74764.160000000003</v>
      </c>
      <c r="E7" s="1">
        <v>73936.55</v>
      </c>
      <c r="F7" s="1">
        <v>71965.22</v>
      </c>
      <c r="G7" s="1">
        <v>58664.24</v>
      </c>
    </row>
    <row r="8" spans="1:7" x14ac:dyDescent="0.25">
      <c r="A8" s="1" t="s">
        <v>9</v>
      </c>
      <c r="B8" s="13">
        <v>4</v>
      </c>
      <c r="C8" s="1"/>
      <c r="D8" s="1">
        <v>24276.27</v>
      </c>
      <c r="E8" s="1">
        <v>22977.31</v>
      </c>
      <c r="F8" s="1">
        <v>21873.34</v>
      </c>
      <c r="G8" s="1">
        <v>19851.47</v>
      </c>
    </row>
    <row r="9" spans="1:7" x14ac:dyDescent="0.25">
      <c r="A9" s="1" t="s">
        <v>10</v>
      </c>
      <c r="B9" s="13">
        <v>5</v>
      </c>
      <c r="C9" s="1"/>
      <c r="D9" s="1">
        <v>1985.83</v>
      </c>
      <c r="E9" s="1">
        <v>1900.52</v>
      </c>
      <c r="F9" s="1">
        <v>1986.97</v>
      </c>
      <c r="G9" s="1">
        <v>1712.66</v>
      </c>
    </row>
    <row r="10" spans="1:7" x14ac:dyDescent="0.25">
      <c r="A10" s="1" t="s">
        <v>11</v>
      </c>
      <c r="B10" s="13">
        <v>6</v>
      </c>
      <c r="C10" s="1"/>
      <c r="D10" s="1">
        <v>2.66</v>
      </c>
      <c r="E10" s="1">
        <v>2.57</v>
      </c>
      <c r="F10" s="1">
        <v>1.39</v>
      </c>
      <c r="G10" s="1"/>
    </row>
    <row r="11" spans="1:7" x14ac:dyDescent="0.25">
      <c r="A11" s="1" t="s">
        <v>12</v>
      </c>
      <c r="B11" s="13">
        <v>7</v>
      </c>
      <c r="C11" s="1"/>
      <c r="D11" s="1"/>
      <c r="E11" s="1"/>
      <c r="F11" s="1">
        <v>0</v>
      </c>
      <c r="G11" s="1">
        <v>1.33</v>
      </c>
    </row>
    <row r="12" spans="1:7" x14ac:dyDescent="0.25">
      <c r="A12" s="1" t="s">
        <v>13</v>
      </c>
      <c r="B12" s="13">
        <v>8</v>
      </c>
      <c r="C12" s="1" t="s">
        <v>6</v>
      </c>
      <c r="D12" s="1">
        <v>101028.92</v>
      </c>
      <c r="E12" s="1">
        <v>98816.960000000006</v>
      </c>
      <c r="F12" s="1">
        <v>95826.92</v>
      </c>
      <c r="G12" s="1">
        <v>80229.69</v>
      </c>
    </row>
    <row r="13" spans="1:7" x14ac:dyDescent="0.25">
      <c r="A13" s="1" t="s">
        <v>14</v>
      </c>
      <c r="B13" s="13">
        <v>9</v>
      </c>
      <c r="C13" s="1"/>
      <c r="D13" s="1">
        <v>29956.14</v>
      </c>
      <c r="E13" s="1">
        <v>29537.85</v>
      </c>
      <c r="F13" s="1">
        <v>29179.3</v>
      </c>
      <c r="G13" s="1">
        <v>24649.83</v>
      </c>
    </row>
    <row r="14" spans="1:7" x14ac:dyDescent="0.25">
      <c r="A14" s="1" t="s">
        <v>15</v>
      </c>
      <c r="B14" s="13">
        <v>10</v>
      </c>
      <c r="C14" s="1"/>
      <c r="D14" s="1">
        <v>20979.39</v>
      </c>
      <c r="E14" s="1">
        <v>20922.48</v>
      </c>
      <c r="F14" s="1">
        <v>19893.330000000002</v>
      </c>
      <c r="G14" s="1">
        <v>18795.48</v>
      </c>
    </row>
    <row r="15" spans="1:7" x14ac:dyDescent="0.25">
      <c r="A15" s="1" t="s">
        <v>16</v>
      </c>
      <c r="B15" s="13">
        <v>11</v>
      </c>
      <c r="C15" s="1"/>
      <c r="D15" s="1">
        <v>16857.64</v>
      </c>
      <c r="E15" s="1">
        <v>17291.169999999998</v>
      </c>
      <c r="F15" s="1">
        <v>16034.97</v>
      </c>
      <c r="G15" s="1">
        <v>15439.14</v>
      </c>
    </row>
    <row r="16" spans="1:7" x14ac:dyDescent="0.25">
      <c r="A16" s="1" t="s">
        <v>17</v>
      </c>
      <c r="B16" s="13">
        <v>12</v>
      </c>
      <c r="C16" s="1"/>
      <c r="D16" s="1">
        <v>4121.76</v>
      </c>
      <c r="E16" s="1">
        <v>3631.31</v>
      </c>
      <c r="F16" s="1">
        <v>3858.36</v>
      </c>
      <c r="G16" s="1">
        <v>3356.34</v>
      </c>
    </row>
    <row r="17" spans="1:7" x14ac:dyDescent="0.25">
      <c r="A17" s="1" t="s">
        <v>18</v>
      </c>
      <c r="B17" s="13">
        <v>13</v>
      </c>
      <c r="C17" s="1"/>
      <c r="D17" s="1">
        <v>20386.97</v>
      </c>
      <c r="E17" s="1">
        <v>18578.330000000002</v>
      </c>
      <c r="F17" s="1">
        <v>16139.4</v>
      </c>
      <c r="G17" s="1">
        <v>11201.94</v>
      </c>
    </row>
    <row r="18" spans="1:7" x14ac:dyDescent="0.25">
      <c r="A18" s="1" t="s">
        <v>19</v>
      </c>
      <c r="B18" s="13">
        <v>14</v>
      </c>
      <c r="C18" s="1"/>
      <c r="D18" s="1">
        <v>15668.79</v>
      </c>
      <c r="E18" s="1">
        <v>15669.68</v>
      </c>
      <c r="F18" s="1">
        <v>17904.98</v>
      </c>
      <c r="G18" s="1">
        <v>14867.37</v>
      </c>
    </row>
    <row r="19" spans="1:7" x14ac:dyDescent="0.25">
      <c r="A19" s="1" t="s">
        <v>20</v>
      </c>
      <c r="B19" s="13">
        <v>15</v>
      </c>
      <c r="C19" s="1"/>
      <c r="D19" s="1">
        <v>14037.62</v>
      </c>
      <c r="E19" s="1">
        <v>14108.63</v>
      </c>
      <c r="F19" s="1">
        <v>12709.9</v>
      </c>
      <c r="G19" s="1">
        <v>10715.07</v>
      </c>
    </row>
    <row r="20" spans="1:7" x14ac:dyDescent="0.25">
      <c r="A20" s="1" t="s">
        <v>21</v>
      </c>
      <c r="B20" s="13">
        <v>16</v>
      </c>
      <c r="C20" s="1"/>
      <c r="D20" s="1">
        <v>0</v>
      </c>
      <c r="E20" s="1">
        <v>0</v>
      </c>
      <c r="F20" s="1">
        <v>0</v>
      </c>
      <c r="G20" s="1"/>
    </row>
    <row r="21" spans="1:7" x14ac:dyDescent="0.25">
      <c r="A21" s="1" t="s">
        <v>22</v>
      </c>
      <c r="B21" s="13">
        <v>17</v>
      </c>
      <c r="C21" s="1"/>
      <c r="D21" s="1"/>
      <c r="E21" s="1"/>
      <c r="F21" s="1"/>
      <c r="G21" s="1"/>
    </row>
    <row r="22" spans="1:7" x14ac:dyDescent="0.25">
      <c r="A22" s="1" t="s">
        <v>23</v>
      </c>
      <c r="B22" s="13">
        <v>18</v>
      </c>
      <c r="C22" s="1"/>
      <c r="D22" s="1"/>
      <c r="E22" s="1"/>
      <c r="F22" s="1"/>
      <c r="G22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725C-E090-4244-86EF-29BC2A576BCC}">
  <dimension ref="A1:G5"/>
  <sheetViews>
    <sheetView workbookViewId="0"/>
  </sheetViews>
  <sheetFormatPr defaultRowHeight="15" x14ac:dyDescent="0.25"/>
  <cols>
    <col min="1" max="1" width="18.5703125" style="11" bestFit="1" customWidth="1"/>
    <col min="2" max="2" width="14.42578125" style="11" customWidth="1"/>
    <col min="3" max="16384" width="9.140625" style="11"/>
  </cols>
  <sheetData>
    <row r="1" spans="1:7" ht="15.75" thickBot="1" x14ac:dyDescent="0.3">
      <c r="A1" s="3" t="s">
        <v>0</v>
      </c>
      <c r="B1" s="3" t="s">
        <v>29</v>
      </c>
      <c r="D1" s="12"/>
      <c r="E1" s="12"/>
      <c r="F1" s="12"/>
      <c r="G1" s="12"/>
    </row>
    <row r="2" spans="1:7" x14ac:dyDescent="0.25">
      <c r="A2" s="12" t="s">
        <v>9</v>
      </c>
      <c r="B2" s="12"/>
    </row>
    <row r="3" spans="1:7" x14ac:dyDescent="0.25">
      <c r="A3" s="12" t="s">
        <v>10</v>
      </c>
      <c r="B3" s="12"/>
    </row>
    <row r="4" spans="1:7" x14ac:dyDescent="0.25">
      <c r="A4" s="12" t="s">
        <v>19</v>
      </c>
      <c r="B4" s="12"/>
    </row>
    <row r="5" spans="1:7" x14ac:dyDescent="0.25">
      <c r="A5" s="12" t="s">
        <v>20</v>
      </c>
      <c r="B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046F-6814-427F-BF6C-82219A1EA656}">
  <dimension ref="A1:G5"/>
  <sheetViews>
    <sheetView workbookViewId="0"/>
  </sheetViews>
  <sheetFormatPr defaultRowHeight="15" x14ac:dyDescent="0.25"/>
  <cols>
    <col min="1" max="1" width="13.7109375" style="11" customWidth="1"/>
    <col min="2" max="2" width="13.42578125" style="11" customWidth="1"/>
    <col min="3" max="16384" width="9.140625" style="11"/>
  </cols>
  <sheetData>
    <row r="1" spans="1:7" ht="15.75" thickBot="1" x14ac:dyDescent="0.3">
      <c r="A1" s="3" t="s">
        <v>29</v>
      </c>
      <c r="B1" s="3" t="s">
        <v>0</v>
      </c>
      <c r="D1" s="12"/>
      <c r="E1" s="12"/>
      <c r="F1" s="12"/>
      <c r="G1" s="12"/>
    </row>
    <row r="2" spans="1:7" x14ac:dyDescent="0.25">
      <c r="A2" s="15">
        <v>2</v>
      </c>
      <c r="B2" s="6"/>
    </row>
    <row r="3" spans="1:7" x14ac:dyDescent="0.25">
      <c r="A3" s="15">
        <v>4</v>
      </c>
      <c r="B3" s="6"/>
    </row>
    <row r="4" spans="1:7" x14ac:dyDescent="0.25">
      <c r="A4" s="15">
        <v>9</v>
      </c>
      <c r="B4" s="6"/>
    </row>
    <row r="5" spans="1:7" x14ac:dyDescent="0.25">
      <c r="A5" s="15">
        <v>11</v>
      </c>
      <c r="B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55CD-F7E3-4B0F-B926-84B18C5E59FF}">
  <dimension ref="A1:G5"/>
  <sheetViews>
    <sheetView workbookViewId="0"/>
  </sheetViews>
  <sheetFormatPr defaultRowHeight="15" x14ac:dyDescent="0.25"/>
  <cols>
    <col min="1" max="1" width="11.42578125" style="11" bestFit="1" customWidth="1"/>
    <col min="2" max="16384" width="9.140625" style="11"/>
  </cols>
  <sheetData>
    <row r="1" spans="1:7" ht="15.75" thickBot="1" x14ac:dyDescent="0.3">
      <c r="A1" s="3" t="s">
        <v>29</v>
      </c>
      <c r="B1" s="4" t="s">
        <v>24</v>
      </c>
      <c r="D1" s="12"/>
      <c r="E1" s="12"/>
      <c r="F1" s="12"/>
      <c r="G1" s="12"/>
    </row>
    <row r="2" spans="1:7" x14ac:dyDescent="0.25">
      <c r="A2" s="12">
        <v>8</v>
      </c>
      <c r="B2" s="7" t="e">
        <f>INDEX(Data!$D:$D,MATCH('3.'!A2,Data!$A:$A,0))</f>
        <v>#N/A</v>
      </c>
    </row>
    <row r="3" spans="1:7" x14ac:dyDescent="0.25">
      <c r="A3" s="12">
        <v>9</v>
      </c>
      <c r="B3" s="7"/>
    </row>
    <row r="4" spans="1:7" x14ac:dyDescent="0.25">
      <c r="A4" s="12">
        <v>11</v>
      </c>
      <c r="B4" s="7"/>
    </row>
    <row r="5" spans="1:7" x14ac:dyDescent="0.25">
      <c r="A5" s="12">
        <v>13</v>
      </c>
      <c r="B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9A77-EFA6-4D88-B471-5D7836D0ADB4}">
  <dimension ref="A1:L5"/>
  <sheetViews>
    <sheetView workbookViewId="0"/>
  </sheetViews>
  <sheetFormatPr defaultRowHeight="15" x14ac:dyDescent="0.25"/>
  <cols>
    <col min="1" max="16384" width="9.140625" style="11"/>
  </cols>
  <sheetData>
    <row r="1" spans="1:12" ht="15.75" thickBot="1" x14ac:dyDescent="0.3">
      <c r="A1" s="3" t="s">
        <v>30</v>
      </c>
      <c r="B1" s="3"/>
      <c r="C1" s="3"/>
      <c r="D1" s="4" t="s">
        <v>27</v>
      </c>
      <c r="E1" s="4" t="s">
        <v>26</v>
      </c>
      <c r="F1" s="4" t="s">
        <v>25</v>
      </c>
      <c r="G1" s="4" t="s">
        <v>24</v>
      </c>
      <c r="I1" s="12"/>
      <c r="J1" s="12"/>
      <c r="K1" s="12"/>
      <c r="L1" s="12"/>
    </row>
    <row r="2" spans="1:12" x14ac:dyDescent="0.25">
      <c r="A2" s="5" t="s">
        <v>8</v>
      </c>
      <c r="B2" s="6"/>
      <c r="C2" s="6"/>
      <c r="D2" s="7"/>
      <c r="E2" s="7"/>
      <c r="F2" s="7"/>
      <c r="G2" s="7"/>
    </row>
    <row r="3" spans="1:12" x14ac:dyDescent="0.25">
      <c r="A3" s="5" t="s">
        <v>9</v>
      </c>
      <c r="B3" s="6"/>
      <c r="C3" s="6"/>
      <c r="D3" s="7"/>
      <c r="E3" s="7"/>
      <c r="F3" s="7"/>
      <c r="G3" s="7"/>
    </row>
    <row r="4" spans="1:12" x14ac:dyDescent="0.25">
      <c r="A4" s="5" t="s">
        <v>10</v>
      </c>
      <c r="B4" s="6"/>
      <c r="C4" s="6"/>
      <c r="D4" s="7"/>
      <c r="E4" s="7"/>
      <c r="F4" s="7"/>
      <c r="G4" s="7"/>
    </row>
    <row r="5" spans="1:12" x14ac:dyDescent="0.25">
      <c r="A5" s="8" t="s">
        <v>28</v>
      </c>
      <c r="B5" s="9"/>
      <c r="C5" s="9"/>
      <c r="D5" s="10"/>
      <c r="E5" s="10"/>
      <c r="F5" s="10"/>
      <c r="G5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0CA5-6477-4051-8633-9841C43FC5AC}">
  <dimension ref="A1:L5"/>
  <sheetViews>
    <sheetView workbookViewId="0"/>
  </sheetViews>
  <sheetFormatPr defaultRowHeight="15" x14ac:dyDescent="0.25"/>
  <cols>
    <col min="1" max="6" width="9.140625" style="11"/>
    <col min="7" max="7" width="10" style="11" bestFit="1" customWidth="1"/>
    <col min="8" max="16384" width="9.140625" style="11"/>
  </cols>
  <sheetData>
    <row r="1" spans="1:12" ht="15.75" thickBot="1" x14ac:dyDescent="0.3">
      <c r="A1" s="3" t="s">
        <v>30</v>
      </c>
      <c r="B1" s="3"/>
      <c r="C1" s="3"/>
      <c r="D1" s="4" t="s">
        <v>27</v>
      </c>
      <c r="E1" s="4" t="s">
        <v>26</v>
      </c>
      <c r="F1" s="4" t="s">
        <v>25</v>
      </c>
      <c r="G1" s="4" t="s">
        <v>24</v>
      </c>
      <c r="I1" s="12"/>
      <c r="J1" s="12"/>
      <c r="K1" s="12"/>
      <c r="L1" s="12"/>
    </row>
    <row r="2" spans="1:12" x14ac:dyDescent="0.25">
      <c r="A2" s="5" t="s">
        <v>8</v>
      </c>
      <c r="B2" s="6"/>
      <c r="C2" s="6"/>
      <c r="D2" s="7">
        <f>VLOOKUP($A2,Data!$A$2:$G$22,7,FALSE)</f>
        <v>58664.24</v>
      </c>
      <c r="E2" s="7">
        <f>VLOOKUP($A2,Data!$A$2:$G$22,6,FALSE)</f>
        <v>71965.22</v>
      </c>
      <c r="F2" s="7">
        <f>VLOOKUP($A2,Data!$A$2:$G$22,5,FALSE)</f>
        <v>73936.55</v>
      </c>
      <c r="G2" s="7">
        <f>VLOOKUP($A2,Data!$A$2:$G$22,4,FALSE)</f>
        <v>74764.160000000003</v>
      </c>
    </row>
    <row r="3" spans="1:12" x14ac:dyDescent="0.25">
      <c r="A3" s="5" t="s">
        <v>9</v>
      </c>
      <c r="B3" s="6"/>
      <c r="C3" s="6"/>
      <c r="D3" s="7">
        <f>VLOOKUP($A3,Data!$A$2:$G$22,7,FALSE)</f>
        <v>19851.47</v>
      </c>
      <c r="E3" s="7">
        <f>VLOOKUP($A3,Data!$A$2:$G$22,6,FALSE)</f>
        <v>21873.34</v>
      </c>
      <c r="F3" s="7">
        <f>VLOOKUP($A3,Data!$A$2:$G$22,5,FALSE)</f>
        <v>22977.31</v>
      </c>
      <c r="G3" s="7">
        <f>VLOOKUP($A3,Data!$A$2:$G$22,4,FALSE)</f>
        <v>24276.27</v>
      </c>
    </row>
    <row r="4" spans="1:12" x14ac:dyDescent="0.25">
      <c r="A4" s="5" t="s">
        <v>10</v>
      </c>
      <c r="B4" s="6"/>
      <c r="C4" s="6"/>
      <c r="D4" s="7">
        <f>VLOOKUP($A4,Data!$A$2:$G$22,7,FALSE)</f>
        <v>1712.66</v>
      </c>
      <c r="E4" s="7">
        <f>VLOOKUP($A4,Data!$A$2:$G$22,6,FALSE)</f>
        <v>1986.97</v>
      </c>
      <c r="F4" s="7">
        <f>VLOOKUP($A4,Data!$A$2:$G$22,5,FALSE)</f>
        <v>1900.52</v>
      </c>
      <c r="G4" s="7">
        <f>VLOOKUP($A4,Data!$A$2:$G$22,4,FALSE)</f>
        <v>1985.83</v>
      </c>
    </row>
    <row r="5" spans="1:12" x14ac:dyDescent="0.25">
      <c r="A5" s="8" t="s">
        <v>28</v>
      </c>
      <c r="B5" s="9"/>
      <c r="C5" s="9"/>
      <c r="D5" s="10">
        <f>SUM(D2:D4)</f>
        <v>80228.37</v>
      </c>
      <c r="E5" s="10">
        <f>SUM(E2:E4)</f>
        <v>95825.53</v>
      </c>
      <c r="F5" s="10">
        <f>SUM(F2:F4)</f>
        <v>98814.38</v>
      </c>
      <c r="G5" s="10">
        <f>SUM(G2:G4)</f>
        <v>101026.26000000001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77FE-AF39-4724-9101-A074EB508799}">
  <dimension ref="A1:L5"/>
  <sheetViews>
    <sheetView workbookViewId="0"/>
  </sheetViews>
  <sheetFormatPr defaultRowHeight="15" x14ac:dyDescent="0.25"/>
  <cols>
    <col min="1" max="6" width="9.140625" style="11"/>
    <col min="7" max="7" width="10" style="11" bestFit="1" customWidth="1"/>
    <col min="8" max="16384" width="9.140625" style="11"/>
  </cols>
  <sheetData>
    <row r="1" spans="1:12" ht="15.75" thickBot="1" x14ac:dyDescent="0.3">
      <c r="A1" s="3" t="s">
        <v>30</v>
      </c>
      <c r="B1" s="3"/>
      <c r="C1" s="3"/>
      <c r="D1" s="4" t="s">
        <v>27</v>
      </c>
      <c r="E1" s="4" t="s">
        <v>26</v>
      </c>
      <c r="F1" s="4" t="s">
        <v>25</v>
      </c>
      <c r="G1" s="4" t="s">
        <v>24</v>
      </c>
      <c r="I1" s="12"/>
      <c r="J1" s="12"/>
      <c r="K1" s="12"/>
      <c r="L1" s="12"/>
    </row>
    <row r="2" spans="1:12" x14ac:dyDescent="0.25">
      <c r="A2" s="5" t="s">
        <v>8</v>
      </c>
      <c r="B2" s="6"/>
      <c r="C2" s="6"/>
      <c r="D2" s="7">
        <f>VLOOKUP($A2,Data!$A$2:$G$22,7,FALSE)</f>
        <v>58664.24</v>
      </c>
      <c r="E2" s="7">
        <f>VLOOKUP($A2,Data!$A$2:$G$22,7,FALSE)</f>
        <v>58664.24</v>
      </c>
      <c r="F2" s="7">
        <f>VLOOKUP($A2,Data!$A$2:$G$22,7,FALSE)</f>
        <v>58664.24</v>
      </c>
      <c r="G2" s="7">
        <f>VLOOKUP($A2,Data!$A$2:$G$22,7,FALSE)</f>
        <v>58664.24</v>
      </c>
    </row>
    <row r="3" spans="1:12" x14ac:dyDescent="0.25">
      <c r="A3" s="5" t="s">
        <v>9</v>
      </c>
      <c r="B3" s="6"/>
      <c r="C3" s="6"/>
      <c r="D3" s="7">
        <f>VLOOKUP($A3,Data!$A$2:$G$22,7,FALSE)</f>
        <v>19851.47</v>
      </c>
      <c r="E3" s="7">
        <f>VLOOKUP($A3,Data!$A$2:$G$22,7,FALSE)</f>
        <v>19851.47</v>
      </c>
      <c r="F3" s="7">
        <f>VLOOKUP($A3,Data!$A$2:$G$22,7,FALSE)</f>
        <v>19851.47</v>
      </c>
      <c r="G3" s="7">
        <f>VLOOKUP($A3,Data!$A$2:$G$22,7,FALSE)</f>
        <v>19851.47</v>
      </c>
    </row>
    <row r="4" spans="1:12" x14ac:dyDescent="0.25">
      <c r="A4" s="5" t="s">
        <v>10</v>
      </c>
      <c r="B4" s="6"/>
      <c r="C4" s="6"/>
      <c r="D4" s="7">
        <f>VLOOKUP($A4,Data!$A$2:$G$22,7,FALSE)</f>
        <v>1712.66</v>
      </c>
      <c r="E4" s="7">
        <f>VLOOKUP($A4,Data!$A$2:$G$22,7,FALSE)</f>
        <v>1712.66</v>
      </c>
      <c r="F4" s="7">
        <f>VLOOKUP($A4,Data!$A$2:$G$22,7,FALSE)</f>
        <v>1712.66</v>
      </c>
      <c r="G4" s="7">
        <f>VLOOKUP($A4,Data!$A$2:$G$22,7,FALSE)</f>
        <v>1712.66</v>
      </c>
    </row>
    <row r="5" spans="1:12" x14ac:dyDescent="0.25">
      <c r="A5" s="8" t="s">
        <v>28</v>
      </c>
      <c r="B5" s="9"/>
      <c r="C5" s="9"/>
      <c r="D5" s="10">
        <f>SUM(D2:D4)</f>
        <v>80228.37</v>
      </c>
      <c r="E5" s="10">
        <f>SUM(E2:E4)</f>
        <v>80228.37</v>
      </c>
      <c r="F5" s="10">
        <f>SUM(F2:F4)</f>
        <v>80228.37</v>
      </c>
      <c r="G5" s="10">
        <f>SUM(G2:G4)</f>
        <v>80228.37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1.</vt:lpstr>
      <vt:lpstr>2.</vt:lpstr>
      <vt:lpstr>3.</vt:lpstr>
      <vt:lpstr>4.</vt:lpstr>
      <vt:lpstr>5.</vt:lpstr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2015-06-05T18:17:20Z</dcterms:created>
  <dcterms:modified xsi:type="dcterms:W3CDTF">2021-06-07T15:55:32Z</dcterms:modified>
</cp:coreProperties>
</file>