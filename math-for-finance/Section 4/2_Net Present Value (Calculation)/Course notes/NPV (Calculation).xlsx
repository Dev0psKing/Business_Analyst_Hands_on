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_OLD/Screen Recordings/Excel Files/"/>
    </mc:Choice>
  </mc:AlternateContent>
  <xr:revisionPtr revIDLastSave="74" documentId="8_{1750A3C2-B8E2-4732-93A7-AD96AEF774B7}" xr6:coauthVersionLast="47" xr6:coauthVersionMax="47" xr10:uidLastSave="{09534C0A-B712-4CE9-BB4B-CCACD315716F}"/>
  <bookViews>
    <workbookView xWindow="-120" yWindow="-120" windowWidth="38640" windowHeight="21120" firstSheet="1" activeTab="1" xr2:uid="{00000000-000D-0000-FFFF-FFFF00000000}"/>
  </bookViews>
  <sheets>
    <sheet name="Cover Page" sheetId="2" state="hidden" r:id="rId1"/>
    <sheet name="Net Present Value (NPV)" sheetId="3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Page'!$A$1:$P$23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3" l="1"/>
  <c r="F19" i="3"/>
  <c r="F20" i="3" s="1"/>
  <c r="E19" i="3"/>
  <c r="E20" i="3" s="1"/>
  <c r="D19" i="3"/>
  <c r="D20" i="3" s="1"/>
  <c r="C19" i="3"/>
  <c r="C20" i="3" s="1"/>
  <c r="E28" i="3"/>
  <c r="C21" i="3" l="1"/>
  <c r="E21" i="3"/>
</calcChain>
</file>

<file path=xl/sharedStrings.xml><?xml version="1.0" encoding="utf-8"?>
<sst xmlns="http://schemas.openxmlformats.org/spreadsheetml/2006/main" count="24" uniqueCount="22">
  <si>
    <t>Strictly Confidential</t>
  </si>
  <si>
    <t>This Excel model is for educational purposes only.</t>
  </si>
  <si>
    <t>Description</t>
  </si>
  <si>
    <t>….....</t>
  </si>
  <si>
    <t>All content is Copyright material of 365 Financial Analyst ®</t>
  </si>
  <si>
    <t>© 2021, 365 Financial Analyst ®</t>
  </si>
  <si>
    <t>Timeline</t>
  </si>
  <si>
    <t>Input Data</t>
  </si>
  <si>
    <t>Output</t>
  </si>
  <si>
    <t>Present Value of Annuity</t>
  </si>
  <si>
    <t>Number of Periods</t>
  </si>
  <si>
    <t>Period</t>
  </si>
  <si>
    <t>Cash Flows</t>
  </si>
  <si>
    <t>PV of Cash Flow</t>
  </si>
  <si>
    <t>Net Present Value (NPV)</t>
  </si>
  <si>
    <t>Cost of Capital</t>
  </si>
  <si>
    <t>Initial Investment</t>
  </si>
  <si>
    <t>Method #1 (NPV by Discounting Each Cash Flow)</t>
  </si>
  <si>
    <t>Method #2  (NPV Using the "NPV" Function)</t>
  </si>
  <si>
    <t>Cash Inflow (Year 1)</t>
  </si>
  <si>
    <t>Cash Inflow (Year 2)</t>
  </si>
  <si>
    <t>Cash Inflow (Year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</si>
</sst>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2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0"/>
      <name val="Arial"/>
      <family val="2"/>
    </font>
    <font>
      <sz val="9"/>
      <color theme="0"/>
      <name val="Arial"/>
      <family val="2"/>
    </font>
    <font>
      <u/>
      <sz val="9"/>
      <color theme="0"/>
      <name val="Arial"/>
      <family val="2"/>
    </font>
    <font>
      <sz val="11"/>
      <color theme="2" tint="0.59996337778862885"/>
      <name val="Arial"/>
      <family val="2"/>
    </font>
    <font>
      <sz val="11"/>
      <color theme="2" tint="0.3999755851924192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1"/>
      <color rgb="FF0073B0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20"/>
      <color theme="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3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5" fillId="2" borderId="0" xfId="2" applyFont="1" applyFill="1"/>
    <xf numFmtId="0" fontId="6" fillId="2" borderId="0" xfId="2" applyFont="1" applyFill="1"/>
    <xf numFmtId="0" fontId="7" fillId="2" borderId="0" xfId="3" applyFont="1" applyFill="1" applyBorder="1"/>
    <xf numFmtId="0" fontId="8" fillId="2" borderId="0" xfId="2" applyFont="1" applyFill="1"/>
    <xf numFmtId="0" fontId="9" fillId="2" borderId="0" xfId="2" applyFont="1" applyFill="1"/>
    <xf numFmtId="0" fontId="10" fillId="2" borderId="0" xfId="2" applyFont="1" applyFill="1" applyAlignment="1">
      <alignment horizontal="right"/>
    </xf>
    <xf numFmtId="0" fontId="5" fillId="2" borderId="1" xfId="2" applyFont="1" applyFill="1" applyBorder="1"/>
    <xf numFmtId="0" fontId="5" fillId="2" borderId="3" xfId="2" applyFont="1" applyFill="1" applyBorder="1"/>
    <xf numFmtId="0" fontId="10" fillId="2" borderId="0" xfId="2" applyFont="1" applyFill="1"/>
    <xf numFmtId="0" fontId="5" fillId="2" borderId="3" xfId="2" applyFont="1" applyFill="1" applyBorder="1" applyProtection="1">
      <protection locked="0"/>
    </xf>
    <xf numFmtId="0" fontId="5" fillId="2" borderId="5" xfId="2" applyFont="1" applyFill="1" applyBorder="1"/>
    <xf numFmtId="0" fontId="13" fillId="2" borderId="0" xfId="2" applyFont="1" applyFill="1"/>
    <xf numFmtId="49" fontId="12" fillId="3" borderId="7" xfId="4" applyNumberFormat="1" applyFont="1" applyFill="1" applyBorder="1" applyAlignment="1">
      <alignment wrapText="1"/>
    </xf>
    <xf numFmtId="49" fontId="12" fillId="3" borderId="7" xfId="4" applyNumberFormat="1" applyFont="1" applyFill="1" applyBorder="1" applyAlignment="1">
      <alignment horizontal="center" wrapText="1"/>
    </xf>
    <xf numFmtId="49" fontId="12" fillId="3" borderId="0" xfId="4" applyNumberFormat="1" applyFont="1" applyFill="1" applyAlignment="1">
      <alignment wrapText="1"/>
    </xf>
    <xf numFmtId="0" fontId="14" fillId="3" borderId="0" xfId="4" applyFont="1" applyFill="1"/>
    <xf numFmtId="7" fontId="14" fillId="3" borderId="0" xfId="4" applyNumberFormat="1" applyFont="1" applyFill="1"/>
    <xf numFmtId="0" fontId="15" fillId="3" borderId="0" xfId="4" applyFont="1" applyFill="1"/>
    <xf numFmtId="0" fontId="14" fillId="3" borderId="7" xfId="4" applyFont="1" applyFill="1" applyBorder="1"/>
    <xf numFmtId="0" fontId="14" fillId="3" borderId="0" xfId="4" applyFont="1" applyFill="1" applyAlignment="1">
      <alignment wrapText="1"/>
    </xf>
    <xf numFmtId="8" fontId="14" fillId="3" borderId="0" xfId="4" applyNumberFormat="1" applyFont="1" applyFill="1"/>
    <xf numFmtId="7" fontId="14" fillId="3" borderId="0" xfId="5" applyNumberFormat="1" applyFont="1" applyFill="1" applyBorder="1"/>
    <xf numFmtId="37" fontId="14" fillId="3" borderId="7" xfId="5" applyNumberFormat="1" applyFont="1" applyFill="1" applyBorder="1"/>
    <xf numFmtId="0" fontId="16" fillId="3" borderId="0" xfId="4" applyFont="1" applyFill="1" applyAlignment="1">
      <alignment horizontal="left" vertical="center"/>
    </xf>
    <xf numFmtId="0" fontId="16" fillId="3" borderId="0" xfId="4" applyFont="1" applyFill="1" applyAlignment="1">
      <alignment horizontal="left" vertical="center" wrapText="1"/>
    </xf>
    <xf numFmtId="0" fontId="17" fillId="3" borderId="0" xfId="2" applyFont="1" applyFill="1" applyAlignment="1">
      <alignment horizontal="left" vertical="center"/>
    </xf>
    <xf numFmtId="37" fontId="14" fillId="3" borderId="0" xfId="5" applyNumberFormat="1" applyFont="1" applyFill="1" applyBorder="1"/>
    <xf numFmtId="0" fontId="14" fillId="3" borderId="0" xfId="4" applyFont="1" applyFill="1" applyAlignment="1">
      <alignment horizontal="right"/>
    </xf>
    <xf numFmtId="6" fontId="14" fillId="3" borderId="0" xfId="4" applyNumberFormat="1" applyFont="1" applyFill="1"/>
    <xf numFmtId="7" fontId="14" fillId="3" borderId="7" xfId="4" applyNumberFormat="1" applyFont="1" applyFill="1" applyBorder="1"/>
    <xf numFmtId="49" fontId="12" fillId="3" borderId="0" xfId="4" applyNumberFormat="1" applyFont="1" applyFill="1" applyAlignment="1">
      <alignment horizontal="center" wrapText="1"/>
    </xf>
    <xf numFmtId="0" fontId="18" fillId="2" borderId="0" xfId="2" applyFont="1" applyFill="1" applyProtection="1">
      <protection locked="0"/>
    </xf>
    <xf numFmtId="0" fontId="14" fillId="3" borderId="8" xfId="4" applyFont="1" applyFill="1" applyBorder="1"/>
    <xf numFmtId="10" fontId="14" fillId="3" borderId="0" xfId="4" applyNumberFormat="1" applyFont="1" applyFill="1"/>
    <xf numFmtId="9" fontId="12" fillId="3" borderId="0" xfId="4" applyNumberFormat="1" applyFont="1" applyFill="1" applyAlignment="1">
      <alignment horizontal="right" wrapText="1"/>
    </xf>
    <xf numFmtId="5" fontId="14" fillId="3" borderId="0" xfId="4" applyNumberFormat="1" applyFont="1" applyFill="1" applyAlignment="1">
      <alignment horizontal="right"/>
    </xf>
    <xf numFmtId="5" fontId="14" fillId="3" borderId="0" xfId="4" applyNumberFormat="1" applyFont="1" applyFill="1"/>
    <xf numFmtId="6" fontId="20" fillId="4" borderId="9" xfId="8" applyNumberFormat="1" applyFont="1" applyFill="1" applyBorder="1"/>
    <xf numFmtId="0" fontId="5" fillId="2" borderId="6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365financialanalyst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544830</xdr:colOff>
      <xdr:row>2</xdr:row>
      <xdr:rowOff>190500</xdr:rowOff>
    </xdr:from>
    <xdr:to>
      <xdr:col>10</xdr:col>
      <xdr:colOff>20955</xdr:colOff>
      <xdr:row>6</xdr:row>
      <xdr:rowOff>191917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9BC0EA-1E7E-48FD-B6AD-CECB3B706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305" y="1181100"/>
          <a:ext cx="7762875" cy="9920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</xdr:colOff>
      <xdr:row>20</xdr:row>
      <xdr:rowOff>74295</xdr:rowOff>
    </xdr:from>
    <xdr:to>
      <xdr:col>3</xdr:col>
      <xdr:colOff>647699</xdr:colOff>
      <xdr:row>20</xdr:row>
      <xdr:rowOff>74295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3498A05-EF77-4716-A77E-DEBAE9711E0E}"/>
            </a:ext>
          </a:extLst>
        </xdr:cNvPr>
        <xdr:cNvCxnSpPr/>
      </xdr:nvCxnSpPr>
      <xdr:spPr>
        <a:xfrm flipH="1">
          <a:off x="2621280" y="18745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131445</xdr:colOff>
      <xdr:row>27</xdr:row>
      <xdr:rowOff>74295</xdr:rowOff>
    </xdr:from>
    <xdr:to>
      <xdr:col>3</xdr:col>
      <xdr:colOff>647699</xdr:colOff>
      <xdr:row>27</xdr:row>
      <xdr:rowOff>74295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FD6FC85-31A1-47C2-AF0F-47CC42074519}"/>
            </a:ext>
          </a:extLst>
        </xdr:cNvPr>
        <xdr:cNvCxnSpPr/>
      </xdr:nvCxnSpPr>
      <xdr:spPr>
        <a:xfrm flipH="1">
          <a:off x="2621280" y="18745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17FA-FDA2-4B6B-AE10-7D153F2E8482}">
  <dimension ref="A1:P43"/>
  <sheetViews>
    <sheetView showGridLines="0" topLeftCell="A3" zoomScale="70" zoomScaleNormal="70" workbookViewId="0">
      <selection activeCell="C30" sqref="C30"/>
    </sheetView>
  </sheetViews>
  <sheetFormatPr defaultColWidth="10.28515625" defaultRowHeight="14.25" x14ac:dyDescent="0.2"/>
  <cols>
    <col min="1" max="2" width="12.42578125" style="4" customWidth="1"/>
    <col min="3" max="3" width="37.28515625" style="4" customWidth="1"/>
    <col min="4" max="22" width="12.42578125" style="4" customWidth="1"/>
    <col min="23" max="25" width="10.28515625" style="4"/>
    <col min="26" max="26" width="10.28515625" style="4" customWidth="1"/>
    <col min="27" max="16384" width="10.28515625" style="4"/>
  </cols>
  <sheetData>
    <row r="1" spans="1:16" ht="19.5" customHeight="1" x14ac:dyDescent="0.2"/>
    <row r="2" spans="1:16" ht="19.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9.5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9.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9.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9.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19.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9.5" customHeight="1" x14ac:dyDescent="0.2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9.5" customHeight="1" x14ac:dyDescent="0.2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5.5" x14ac:dyDescent="0.35">
      <c r="A10" s="5"/>
      <c r="B10" s="1"/>
      <c r="C10" s="32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O10" s="1"/>
      <c r="P10" s="1"/>
    </row>
    <row r="11" spans="1:16" ht="19.5" customHeight="1" x14ac:dyDescent="0.2">
      <c r="A11" s="5"/>
      <c r="B11" s="1"/>
      <c r="C11" s="10"/>
      <c r="D11" s="8"/>
      <c r="E11" s="8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9.5" customHeight="1" x14ac:dyDescent="0.25">
      <c r="A12" s="5"/>
      <c r="B12" s="7"/>
      <c r="C12" s="9" t="s">
        <v>2</v>
      </c>
      <c r="D12" s="1"/>
      <c r="E12" s="1"/>
      <c r="F12" s="7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9.5" customHeight="1" x14ac:dyDescent="0.2">
      <c r="A13" s="5"/>
      <c r="B13" s="7"/>
      <c r="C13" s="39" t="s">
        <v>3</v>
      </c>
      <c r="D13" s="40"/>
      <c r="E13" s="40"/>
      <c r="F13" s="4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9.5" customHeight="1" x14ac:dyDescent="0.2">
      <c r="A14" s="5"/>
      <c r="B14" s="7"/>
      <c r="C14" s="39"/>
      <c r="D14" s="40"/>
      <c r="E14" s="40"/>
      <c r="F14" s="4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9.5" customHeight="1" x14ac:dyDescent="0.2">
      <c r="A15" s="5"/>
      <c r="B15" s="7"/>
      <c r="C15" s="42"/>
      <c r="D15" s="43"/>
      <c r="E15" s="43"/>
      <c r="F15" s="44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9.5" customHeight="1" x14ac:dyDescent="0.2">
      <c r="A16" s="5"/>
      <c r="B16" s="1"/>
      <c r="C16" s="11"/>
      <c r="D16" s="11"/>
      <c r="E16" s="11"/>
      <c r="F16" s="11"/>
      <c r="G16" s="8"/>
      <c r="H16" s="8"/>
      <c r="I16" s="8"/>
      <c r="J16" s="8"/>
      <c r="K16" s="8"/>
      <c r="L16" s="8"/>
      <c r="M16" s="8"/>
      <c r="N16" s="8"/>
      <c r="O16" s="1"/>
      <c r="P16" s="1"/>
    </row>
    <row r="17" spans="1:16" ht="19.5" customHeight="1" x14ac:dyDescent="0.25">
      <c r="A17" s="5"/>
      <c r="B17" s="1"/>
      <c r="C17" s="2" t="s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6" t="s">
        <v>0</v>
      </c>
      <c r="O17" s="1"/>
      <c r="P17" s="1"/>
    </row>
    <row r="18" spans="1:16" ht="19.5" customHeight="1" x14ac:dyDescent="0.2">
      <c r="A18" s="5"/>
      <c r="B18" s="1"/>
      <c r="C18" s="2" t="s">
        <v>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1"/>
      <c r="O18" s="1"/>
      <c r="P18" s="1"/>
    </row>
    <row r="19" spans="1:16" ht="19.5" customHeight="1" x14ac:dyDescent="0.2">
      <c r="A19" s="5"/>
      <c r="B19" s="1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1"/>
      <c r="O19" s="1"/>
      <c r="P19" s="1"/>
    </row>
    <row r="20" spans="1:16" ht="19.5" customHeight="1" x14ac:dyDescent="0.2">
      <c r="A20" s="5"/>
      <c r="B20" s="1"/>
      <c r="C20" s="2" t="s">
        <v>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1"/>
    </row>
    <row r="21" spans="1:16" ht="19.5" customHeight="1" x14ac:dyDescent="0.2">
      <c r="A21" s="5"/>
      <c r="B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1"/>
      <c r="O21" s="1"/>
      <c r="P21" s="1"/>
    </row>
    <row r="22" spans="1:16" ht="19.5" customHeight="1" x14ac:dyDescent="0.2">
      <c r="A22" s="5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</row>
    <row r="23" spans="1:16" ht="19.5" customHeight="1" x14ac:dyDescent="0.2">
      <c r="A23" s="5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"/>
      <c r="O23" s="1"/>
      <c r="P23" s="1"/>
    </row>
    <row r="24" spans="1:16" ht="19.5" customHeight="1" x14ac:dyDescent="0.2">
      <c r="A24" s="5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</row>
    <row r="25" spans="1:16" ht="19.5" customHeight="1" x14ac:dyDescent="0.2">
      <c r="A25" s="5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</row>
    <row r="26" spans="1:16" ht="19.5" customHeight="1" x14ac:dyDescent="0.2">
      <c r="A26" s="5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</row>
    <row r="27" spans="1:16" ht="19.5" customHeight="1" x14ac:dyDescent="0.2">
      <c r="A27" s="5"/>
      <c r="B27" s="5"/>
      <c r="C27" s="5"/>
      <c r="D27" s="5"/>
      <c r="E27" s="5"/>
      <c r="F27" s="5"/>
      <c r="G27" s="12"/>
      <c r="H27" s="5"/>
      <c r="I27" s="5"/>
      <c r="J27" s="5"/>
      <c r="K27" s="5"/>
      <c r="L27" s="5"/>
      <c r="M27" s="5"/>
      <c r="N27" s="5"/>
      <c r="O27" s="5"/>
      <c r="P27" s="5"/>
    </row>
    <row r="28" spans="1:16" ht="19.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9.5" customHeight="1" x14ac:dyDescent="0.2"/>
    <row r="30" spans="1:16" ht="19.5" customHeight="1" x14ac:dyDescent="0.2"/>
    <row r="31" spans="1:16" ht="19.5" customHeight="1" x14ac:dyDescent="0.2"/>
    <row r="32" spans="1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</sheetData>
  <mergeCells count="1">
    <mergeCell ref="C13:F15"/>
  </mergeCells>
  <pageMargins left="0.7" right="0.7" top="0.75" bottom="0.75" header="0.3" footer="0.3"/>
  <pageSetup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P28"/>
  <sheetViews>
    <sheetView tabSelected="1" zoomScale="140" zoomScaleNormal="140" workbookViewId="0">
      <selection activeCell="F35" sqref="F35"/>
    </sheetView>
  </sheetViews>
  <sheetFormatPr defaultColWidth="9" defaultRowHeight="12" x14ac:dyDescent="0.2"/>
  <cols>
    <col min="1" max="1" width="1.85546875" style="16" customWidth="1"/>
    <col min="2" max="2" width="25.7109375" style="16" bestFit="1" customWidth="1"/>
    <col min="3" max="3" width="15.85546875" style="16" bestFit="1" customWidth="1"/>
    <col min="4" max="6" width="14" style="16" bestFit="1" customWidth="1"/>
    <col min="7" max="7" width="11.42578125" style="16" bestFit="1" customWidth="1"/>
    <col min="8" max="16384" width="9" style="16"/>
  </cols>
  <sheetData>
    <row r="1" spans="2:8" ht="13.15" customHeight="1" x14ac:dyDescent="0.2">
      <c r="B1" s="26" t="s">
        <v>14</v>
      </c>
      <c r="E1" s="24"/>
      <c r="F1" s="25"/>
      <c r="G1" s="24"/>
    </row>
    <row r="2" spans="2:8" ht="12.75" customHeight="1" x14ac:dyDescent="0.2"/>
    <row r="3" spans="2:8" ht="12.75" thickBot="1" x14ac:dyDescent="0.25">
      <c r="B3" s="13" t="s">
        <v>7</v>
      </c>
      <c r="C3" s="14"/>
      <c r="D3" s="19"/>
      <c r="E3" s="19"/>
      <c r="F3" s="30"/>
      <c r="G3" s="19"/>
      <c r="H3" s="19"/>
    </row>
    <row r="4" spans="2:8" ht="12.75" thickTop="1" x14ac:dyDescent="0.2">
      <c r="B4" s="15" t="s">
        <v>15</v>
      </c>
      <c r="C4" s="35">
        <v>0.1</v>
      </c>
      <c r="F4" s="17"/>
    </row>
    <row r="5" spans="2:8" x14ac:dyDescent="0.2">
      <c r="B5" s="16" t="s">
        <v>16</v>
      </c>
      <c r="C5" s="36">
        <v>-10000000</v>
      </c>
      <c r="F5" s="17"/>
    </row>
    <row r="6" spans="2:8" x14ac:dyDescent="0.2">
      <c r="B6" s="16" t="s">
        <v>10</v>
      </c>
      <c r="C6" s="28">
        <v>3</v>
      </c>
      <c r="F6" s="17"/>
    </row>
    <row r="7" spans="2:8" x14ac:dyDescent="0.2">
      <c r="B7" s="16" t="s">
        <v>19</v>
      </c>
      <c r="C7" s="29">
        <v>3000000</v>
      </c>
    </row>
    <row r="8" spans="2:8" x14ac:dyDescent="0.2">
      <c r="B8" s="16" t="s">
        <v>20</v>
      </c>
      <c r="C8" s="29">
        <v>4500000</v>
      </c>
    </row>
    <row r="9" spans="2:8" x14ac:dyDescent="0.2">
      <c r="B9" s="16" t="s">
        <v>21</v>
      </c>
      <c r="C9" s="29">
        <v>5000000</v>
      </c>
    </row>
    <row r="13" spans="2:8" ht="12.75" thickBot="1" x14ac:dyDescent="0.25">
      <c r="B13" s="13" t="s">
        <v>8</v>
      </c>
      <c r="C13" s="14"/>
      <c r="D13" s="19"/>
      <c r="E13" s="19"/>
      <c r="F13" s="30"/>
      <c r="G13" s="19"/>
      <c r="H13" s="19"/>
    </row>
    <row r="14" spans="2:8" ht="12.75" thickTop="1" x14ac:dyDescent="0.2">
      <c r="B14" s="15"/>
      <c r="C14" s="31"/>
      <c r="F14" s="17"/>
    </row>
    <row r="15" spans="2:8" x14ac:dyDescent="0.2">
      <c r="B15" s="33" t="s">
        <v>17</v>
      </c>
      <c r="C15" s="33"/>
      <c r="D15" s="33"/>
      <c r="E15" s="33"/>
      <c r="F15" s="33"/>
      <c r="G15" s="33"/>
      <c r="H15" s="33"/>
    </row>
    <row r="16" spans="2:8" x14ac:dyDescent="0.2">
      <c r="C16" s="27"/>
      <c r="E16" s="27"/>
      <c r="G16" s="27"/>
    </row>
    <row r="17" spans="2:16" x14ac:dyDescent="0.2">
      <c r="B17" s="18" t="s">
        <v>6</v>
      </c>
      <c r="C17" s="22"/>
    </row>
    <row r="18" spans="2:16" ht="12.75" thickBot="1" x14ac:dyDescent="0.25">
      <c r="B18" s="19" t="s">
        <v>11</v>
      </c>
      <c r="C18" s="23">
        <v>0</v>
      </c>
      <c r="D18" s="19">
        <v>1</v>
      </c>
      <c r="E18" s="23">
        <v>2</v>
      </c>
      <c r="F18" s="23">
        <v>3</v>
      </c>
    </row>
    <row r="19" spans="2:16" ht="12.75" thickTop="1" x14ac:dyDescent="0.2">
      <c r="B19" s="16" t="s">
        <v>12</v>
      </c>
      <c r="C19" s="37">
        <f>C5</f>
        <v>-10000000</v>
      </c>
      <c r="D19" s="37">
        <f>C7</f>
        <v>3000000</v>
      </c>
      <c r="E19" s="37">
        <f>C8</f>
        <v>4500000</v>
      </c>
      <c r="F19" s="37">
        <f>C9</f>
        <v>5000000</v>
      </c>
    </row>
    <row r="20" spans="2:16" x14ac:dyDescent="0.2">
      <c r="B20" s="20" t="s">
        <v>13</v>
      </c>
      <c r="C20" s="37">
        <f>C19/((1+$C$4))^C18</f>
        <v>-10000000</v>
      </c>
      <c r="D20" s="37">
        <f t="shared" ref="D20:F20" si="0">D19/((1+$C$4))^D18</f>
        <v>2727272.7272727271</v>
      </c>
      <c r="E20" s="37">
        <f t="shared" si="0"/>
        <v>3719008.2644628095</v>
      </c>
      <c r="F20" s="37">
        <f t="shared" si="0"/>
        <v>3756574.0045078876</v>
      </c>
    </row>
    <row r="21" spans="2:16" x14ac:dyDescent="0.2">
      <c r="B21" s="16" t="s">
        <v>14</v>
      </c>
      <c r="C21" s="38">
        <f>SUM(C20:P20)</f>
        <v>202854.99624342378</v>
      </c>
      <c r="E21" s="16" t="str">
        <f ca="1">IF(C21="","",_xlfn.FORMULATEXT(C21))</f>
        <v>=SUM(C20:P20)</v>
      </c>
      <c r="F21" s="21"/>
      <c r="P21" s="34"/>
    </row>
    <row r="22" spans="2:16" x14ac:dyDescent="0.2">
      <c r="C22" s="21"/>
      <c r="D22" s="21"/>
      <c r="E22" s="21"/>
      <c r="F22" s="21"/>
      <c r="G22" s="21"/>
    </row>
    <row r="23" spans="2:16" x14ac:dyDescent="0.2">
      <c r="C23" s="21"/>
      <c r="D23" s="17"/>
      <c r="E23" s="17"/>
      <c r="F23" s="17"/>
      <c r="G23" s="17"/>
    </row>
    <row r="25" spans="2:16" x14ac:dyDescent="0.2">
      <c r="B25" s="33" t="s">
        <v>18</v>
      </c>
      <c r="C25" s="33"/>
      <c r="D25" s="33"/>
      <c r="E25" s="33"/>
      <c r="F25" s="33"/>
      <c r="G25" s="33"/>
      <c r="H25" s="33"/>
    </row>
    <row r="28" spans="2:16" x14ac:dyDescent="0.2">
      <c r="B28" s="16" t="s">
        <v>14</v>
      </c>
      <c r="C28" s="38">
        <f>NPV(C4,D19:F19)+C19</f>
        <v>202854.99624342285</v>
      </c>
      <c r="E28" s="16" t="str">
        <f ca="1">IF(C28="","",_xlfn.FORMULATEXT(C28))</f>
        <v>=NPV(C4,D19:F19)+C19</v>
      </c>
    </row>
  </sheetData>
  <phoneticPr fontId="19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</vt:lpstr>
      <vt:lpstr>Net Present Value (NPV)</vt:lpstr>
      <vt:lpstr>'Cover Page'!Print_Area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2023-01-27T10:59:33Z</dcterms:modified>
</cp:coreProperties>
</file>