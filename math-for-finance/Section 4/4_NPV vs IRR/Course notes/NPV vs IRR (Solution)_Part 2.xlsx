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234" documentId="8_{1750A3C2-B8E2-4732-93A7-AD96AEF774B7}" xr6:coauthVersionLast="47" xr6:coauthVersionMax="47" xr10:uidLastSave="{5D90E236-C2FF-46A8-8824-2877E03D46DF}"/>
  <bookViews>
    <workbookView xWindow="-28920" yWindow="-3765" windowWidth="29040" windowHeight="15720" xr2:uid="{00000000-000D-0000-FFFF-FFFF00000000}"/>
  </bookViews>
  <sheets>
    <sheet name="NPV vs IRR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3" l="1"/>
  <c r="G28" i="3" s="1"/>
  <c r="F27" i="3"/>
  <c r="F28" i="3" s="1"/>
  <c r="E27" i="3"/>
  <c r="E28" i="3" s="1"/>
  <c r="D27" i="3"/>
  <c r="D28" i="3" s="1"/>
  <c r="C27" i="3"/>
  <c r="C36" i="3" s="1"/>
  <c r="G21" i="3"/>
  <c r="G22" i="3" s="1"/>
  <c r="F21" i="3"/>
  <c r="F22" i="3" s="1"/>
  <c r="E21" i="3"/>
  <c r="E22" i="3" s="1"/>
  <c r="D21" i="3"/>
  <c r="D22" i="3" s="1"/>
  <c r="C21" i="3"/>
  <c r="C35" i="3" s="1"/>
  <c r="E36" i="3"/>
  <c r="C28" i="3" l="1"/>
  <c r="C29" i="3" s="1"/>
  <c r="C22" i="3"/>
  <c r="C23" i="3" s="1"/>
  <c r="E23" i="3"/>
  <c r="E29" i="3"/>
  <c r="E35" i="3"/>
</calcChain>
</file>

<file path=xl/sharedStrings.xml><?xml version="1.0" encoding="utf-8"?>
<sst xmlns="http://schemas.openxmlformats.org/spreadsheetml/2006/main" count="33" uniqueCount="22">
  <si>
    <t>Input Data</t>
  </si>
  <si>
    <t>Output</t>
  </si>
  <si>
    <t>Number of Periods</t>
  </si>
  <si>
    <t>Period</t>
  </si>
  <si>
    <t>Cash Flows</t>
  </si>
  <si>
    <t>PV of Cash Flow</t>
  </si>
  <si>
    <t>Net Present Value (NPV)</t>
  </si>
  <si>
    <t>Cost of Capital</t>
  </si>
  <si>
    <t>Initial Investment</t>
  </si>
  <si>
    <t>Cash Inflow (Year 1)</t>
  </si>
  <si>
    <t>Cash Inflow (Year 2)</t>
  </si>
  <si>
    <t>Cash Inflow (Year 3)</t>
  </si>
  <si>
    <t>Cash Inflow (Year 4)</t>
  </si>
  <si>
    <t>NPV</t>
  </si>
  <si>
    <t>IRR</t>
  </si>
  <si>
    <t>Project A</t>
  </si>
  <si>
    <t>Project B</t>
  </si>
  <si>
    <t>Timeline (Project A)</t>
  </si>
  <si>
    <t>Timeline (Project B)</t>
  </si>
  <si>
    <t>IRR (Project A)</t>
  </si>
  <si>
    <t>IRR (Project B)</t>
  </si>
  <si>
    <t>NPV vs IRR (Project A and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</si>
</sst>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rgb="FF0073B0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  <font>
      <b/>
      <sz val="9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/>
      <right/>
      <top/>
      <bottom style="thin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28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8" fillId="2" borderId="0" xfId="4" applyFont="1" applyFill="1"/>
    <xf numFmtId="0" fontId="7" fillId="2" borderId="1" xfId="4" applyFont="1" applyFill="1" applyBorder="1"/>
    <xf numFmtId="0" fontId="7" fillId="2" borderId="0" xfId="4" applyFont="1" applyFill="1" applyAlignment="1">
      <alignment wrapText="1"/>
    </xf>
    <xf numFmtId="8" fontId="7" fillId="2" borderId="0" xfId="4" applyNumberFormat="1" applyFont="1" applyFill="1"/>
    <xf numFmtId="7" fontId="7" fillId="2" borderId="0" xfId="5" applyNumberFormat="1" applyFont="1" applyFill="1" applyBorder="1"/>
    <xf numFmtId="37" fontId="7" fillId="2" borderId="1" xfId="5" applyNumberFormat="1" applyFont="1" applyFill="1" applyBorder="1"/>
    <xf numFmtId="0" fontId="9" fillId="2" borderId="0" xfId="4" applyFont="1" applyFill="1" applyAlignment="1">
      <alignment horizontal="left" vertical="center"/>
    </xf>
    <xf numFmtId="0" fontId="9" fillId="2" borderId="0" xfId="4" applyFont="1" applyFill="1" applyAlignment="1">
      <alignment horizontal="left" vertical="center" wrapText="1"/>
    </xf>
    <xf numFmtId="0" fontId="10" fillId="2" borderId="0" xfId="2" applyFont="1" applyFill="1" applyAlignment="1">
      <alignment horizontal="left" vertical="center"/>
    </xf>
    <xf numFmtId="37" fontId="7" fillId="2" borderId="0" xfId="5" applyNumberFormat="1" applyFont="1" applyFill="1" applyBorder="1"/>
    <xf numFmtId="0" fontId="7" fillId="2" borderId="0" xfId="4" applyFont="1" applyFill="1" applyAlignment="1">
      <alignment horizontal="right"/>
    </xf>
    <xf numFmtId="6" fontId="7" fillId="2" borderId="0" xfId="4" applyNumberFormat="1" applyFont="1" applyFill="1"/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0" fontId="7" fillId="2" borderId="2" xfId="4" applyFont="1" applyFill="1" applyBorder="1"/>
    <xf numFmtId="10" fontId="7" fillId="2" borderId="0" xfId="4" applyNumberFormat="1" applyFont="1" applyFill="1"/>
    <xf numFmtId="9" fontId="6" fillId="2" borderId="0" xfId="4" applyNumberFormat="1" applyFont="1" applyFill="1" applyAlignment="1">
      <alignment horizontal="right" wrapText="1"/>
    </xf>
    <xf numFmtId="5" fontId="7" fillId="2" borderId="0" xfId="4" applyNumberFormat="1" applyFont="1" applyFill="1" applyAlignment="1">
      <alignment horizontal="right"/>
    </xf>
    <xf numFmtId="5" fontId="7" fillId="2" borderId="0" xfId="4" applyNumberFormat="1" applyFont="1" applyFill="1"/>
    <xf numFmtId="6" fontId="12" fillId="3" borderId="3" xfId="8" applyNumberFormat="1" applyFont="1" applyFill="1" applyBorder="1"/>
    <xf numFmtId="49" fontId="13" fillId="2" borderId="4" xfId="4" applyNumberFormat="1" applyFont="1" applyFill="1" applyBorder="1" applyAlignment="1">
      <alignment horizontal="right" wrapText="1"/>
    </xf>
    <xf numFmtId="9" fontId="12" fillId="3" borderId="3" xfId="8" applyNumberFormat="1" applyFont="1" applyFill="1" applyBorder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131445</xdr:colOff>
      <xdr:row>22</xdr:row>
      <xdr:rowOff>74295</xdr:rowOff>
    </xdr:from>
    <xdr:to>
      <xdr:col>3</xdr:col>
      <xdr:colOff>647699</xdr:colOff>
      <xdr:row>22</xdr:row>
      <xdr:rowOff>74295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3498A05-EF77-4716-A77E-DEBAE9711E0E}"/>
            </a:ext>
          </a:extLst>
        </xdr:cNvPr>
        <xdr:cNvCxnSpPr/>
      </xdr:nvCxnSpPr>
      <xdr:spPr>
        <a:xfrm flipH="1">
          <a:off x="2621280" y="1874520"/>
          <a:ext cx="5124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131445</xdr:colOff>
      <xdr:row>34</xdr:row>
      <xdr:rowOff>74295</xdr:rowOff>
    </xdr:from>
    <xdr:to>
      <xdr:col>3</xdr:col>
      <xdr:colOff>647699</xdr:colOff>
      <xdr:row>34</xdr:row>
      <xdr:rowOff>74295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FD6FC85-31A1-47C2-AF0F-47CC42074519}"/>
            </a:ext>
          </a:extLst>
        </xdr:cNvPr>
        <xdr:cNvCxnSpPr/>
      </xdr:nvCxnSpPr>
      <xdr:spPr>
        <a:xfrm flipH="1">
          <a:off x="2621280" y="1874520"/>
          <a:ext cx="5124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131445</xdr:colOff>
      <xdr:row>28</xdr:row>
      <xdr:rowOff>74295</xdr:rowOff>
    </xdr:from>
    <xdr:to>
      <xdr:col>3</xdr:col>
      <xdr:colOff>647699</xdr:colOff>
      <xdr:row>28</xdr:row>
      <xdr:rowOff>74295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A43D169C-28D7-4B0B-92E1-53F600FF68E3}"/>
            </a:ext>
          </a:extLst>
        </xdr:cNvPr>
        <xdr:cNvCxnSpPr/>
      </xdr:nvCxnSpPr>
      <xdr:spPr>
        <a:xfrm flipH="1">
          <a:off x="2786380" y="3487420"/>
          <a:ext cx="5124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125095</xdr:colOff>
      <xdr:row>35</xdr:row>
      <xdr:rowOff>88582</xdr:rowOff>
    </xdr:from>
    <xdr:to>
      <xdr:col>3</xdr:col>
      <xdr:colOff>637539</xdr:colOff>
      <xdr:row>35</xdr:row>
      <xdr:rowOff>88582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3185991-820E-4175-B10B-D17AF6017A7A}"/>
            </a:ext>
          </a:extLst>
        </xdr:cNvPr>
        <xdr:cNvCxnSpPr/>
      </xdr:nvCxnSpPr>
      <xdr:spPr>
        <a:xfrm flipH="1">
          <a:off x="2776220" y="5382895"/>
          <a:ext cx="512444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O36"/>
  <sheetViews>
    <sheetView tabSelected="1" zoomScale="120" zoomScaleNormal="120" workbookViewId="0"/>
  </sheetViews>
  <sheetFormatPr defaultColWidth="9" defaultRowHeight="11.4" x14ac:dyDescent="0.2"/>
  <cols>
    <col min="1" max="1" width="1.875" style="4" customWidth="1"/>
    <col min="2" max="2" width="25.75" style="4" bestFit="1" customWidth="1"/>
    <col min="3" max="3" width="15.875" style="4" bestFit="1" customWidth="1"/>
    <col min="4" max="4" width="14" style="4" bestFit="1" customWidth="1"/>
    <col min="5" max="5" width="17.75" style="4" customWidth="1"/>
    <col min="6" max="6" width="14" style="4" bestFit="1" customWidth="1"/>
    <col min="7" max="7" width="11.375" style="4" bestFit="1" customWidth="1"/>
    <col min="8" max="16384" width="9" style="4"/>
  </cols>
  <sheetData>
    <row r="1" spans="2:7" ht="13.2" customHeight="1" x14ac:dyDescent="0.2">
      <c r="B1" s="14" t="s">
        <v>21</v>
      </c>
      <c r="E1" s="12"/>
      <c r="F1" s="13"/>
      <c r="G1" s="12"/>
    </row>
    <row r="2" spans="2:7" ht="12.75" customHeight="1" x14ac:dyDescent="0.2"/>
    <row r="3" spans="2:7" ht="12.75" customHeight="1" x14ac:dyDescent="0.2"/>
    <row r="4" spans="2:7" ht="12" thickBot="1" x14ac:dyDescent="0.25">
      <c r="B4" s="1" t="s">
        <v>0</v>
      </c>
      <c r="C4" s="2"/>
      <c r="D4" s="7"/>
      <c r="E4" s="7"/>
      <c r="F4" s="18"/>
      <c r="G4" s="7"/>
    </row>
    <row r="5" spans="2:7" ht="12" thickTop="1" x14ac:dyDescent="0.2">
      <c r="B5" s="3"/>
      <c r="C5" s="19"/>
      <c r="F5" s="5"/>
    </row>
    <row r="6" spans="2:7" ht="12" x14ac:dyDescent="0.25">
      <c r="B6" s="3"/>
      <c r="C6" s="26" t="s">
        <v>15</v>
      </c>
      <c r="F6" s="26" t="s">
        <v>16</v>
      </c>
    </row>
    <row r="7" spans="2:7" x14ac:dyDescent="0.2">
      <c r="B7" s="3" t="s">
        <v>7</v>
      </c>
      <c r="C7" s="22">
        <v>0.1</v>
      </c>
      <c r="E7" s="3" t="s">
        <v>7</v>
      </c>
      <c r="F7" s="22">
        <v>0.1</v>
      </c>
    </row>
    <row r="8" spans="2:7" x14ac:dyDescent="0.2">
      <c r="B8" s="4" t="s">
        <v>8</v>
      </c>
      <c r="C8" s="23">
        <v>-200000</v>
      </c>
      <c r="E8" s="4" t="s">
        <v>8</v>
      </c>
      <c r="F8" s="23">
        <v>-200000</v>
      </c>
    </row>
    <row r="9" spans="2:7" x14ac:dyDescent="0.2">
      <c r="B9" s="4" t="s">
        <v>2</v>
      </c>
      <c r="C9" s="16">
        <v>4</v>
      </c>
      <c r="E9" s="4" t="s">
        <v>2</v>
      </c>
      <c r="F9" s="16">
        <v>4</v>
      </c>
    </row>
    <row r="10" spans="2:7" x14ac:dyDescent="0.2">
      <c r="B10" s="4" t="s">
        <v>9</v>
      </c>
      <c r="C10" s="17">
        <v>320000</v>
      </c>
      <c r="E10" s="4" t="s">
        <v>9</v>
      </c>
      <c r="F10" s="17">
        <v>0</v>
      </c>
    </row>
    <row r="11" spans="2:7" x14ac:dyDescent="0.2">
      <c r="B11" s="4" t="s">
        <v>10</v>
      </c>
      <c r="C11" s="17">
        <v>0</v>
      </c>
      <c r="E11" s="4" t="s">
        <v>10</v>
      </c>
      <c r="F11" s="17">
        <v>0</v>
      </c>
    </row>
    <row r="12" spans="2:7" x14ac:dyDescent="0.2">
      <c r="B12" s="4" t="s">
        <v>11</v>
      </c>
      <c r="C12" s="17">
        <v>0</v>
      </c>
      <c r="E12" s="4" t="s">
        <v>11</v>
      </c>
      <c r="F12" s="17">
        <v>0</v>
      </c>
    </row>
    <row r="13" spans="2:7" x14ac:dyDescent="0.2">
      <c r="B13" s="4" t="s">
        <v>12</v>
      </c>
      <c r="C13" s="17">
        <v>0</v>
      </c>
      <c r="E13" s="4" t="s">
        <v>12</v>
      </c>
      <c r="F13" s="17">
        <v>480000</v>
      </c>
    </row>
    <row r="15" spans="2:7" ht="12" thickBot="1" x14ac:dyDescent="0.25">
      <c r="B15" s="1" t="s">
        <v>1</v>
      </c>
      <c r="C15" s="2"/>
      <c r="D15" s="7"/>
      <c r="E15" s="7"/>
      <c r="F15" s="18"/>
      <c r="G15" s="7"/>
    </row>
    <row r="16" spans="2:7" ht="12" thickTop="1" x14ac:dyDescent="0.2">
      <c r="B16" s="3"/>
      <c r="C16" s="19"/>
      <c r="F16" s="5"/>
    </row>
    <row r="17" spans="2:15" x14ac:dyDescent="0.2">
      <c r="B17" s="20" t="s">
        <v>13</v>
      </c>
      <c r="C17" s="20"/>
      <c r="D17" s="20"/>
      <c r="E17" s="20"/>
      <c r="F17" s="20"/>
      <c r="G17" s="20"/>
    </row>
    <row r="18" spans="2:15" x14ac:dyDescent="0.2">
      <c r="C18" s="15"/>
      <c r="E18" s="15"/>
      <c r="G18" s="15"/>
    </row>
    <row r="19" spans="2:15" ht="12" x14ac:dyDescent="0.25">
      <c r="B19" s="6" t="s">
        <v>17</v>
      </c>
      <c r="C19" s="10"/>
    </row>
    <row r="20" spans="2:15" ht="12" thickBot="1" x14ac:dyDescent="0.25">
      <c r="B20" s="7" t="s">
        <v>3</v>
      </c>
      <c r="C20" s="11">
        <v>0</v>
      </c>
      <c r="D20" s="7">
        <v>1</v>
      </c>
      <c r="E20" s="11">
        <v>2</v>
      </c>
      <c r="F20" s="11">
        <v>3</v>
      </c>
      <c r="G20" s="7">
        <v>4</v>
      </c>
    </row>
    <row r="21" spans="2:15" ht="12" thickTop="1" x14ac:dyDescent="0.2">
      <c r="B21" s="4" t="s">
        <v>4</v>
      </c>
      <c r="C21" s="24">
        <f>C8</f>
        <v>-200000</v>
      </c>
      <c r="D21" s="24">
        <f>C10</f>
        <v>320000</v>
      </c>
      <c r="E21" s="24">
        <f>C11</f>
        <v>0</v>
      </c>
      <c r="F21" s="24">
        <f>C12</f>
        <v>0</v>
      </c>
      <c r="G21" s="24">
        <f>C13</f>
        <v>0</v>
      </c>
    </row>
    <row r="22" spans="2:15" x14ac:dyDescent="0.2">
      <c r="B22" s="8" t="s">
        <v>5</v>
      </c>
      <c r="C22" s="24">
        <f>C21/((1+$C$7))^C20</f>
        <v>-200000</v>
      </c>
      <c r="D22" s="24">
        <f>D21/((1+$C$7))^D20</f>
        <v>290909.09090909088</v>
      </c>
      <c r="E22" s="24">
        <f t="shared" ref="E22:G22" si="0">E21/((1+$C$7))^E20</f>
        <v>0</v>
      </c>
      <c r="F22" s="24">
        <f t="shared" si="0"/>
        <v>0</v>
      </c>
      <c r="G22" s="24">
        <f t="shared" si="0"/>
        <v>0</v>
      </c>
    </row>
    <row r="23" spans="2:15" x14ac:dyDescent="0.2">
      <c r="B23" s="4" t="s">
        <v>6</v>
      </c>
      <c r="C23" s="25">
        <f>SUM(C22:G22)</f>
        <v>90909.090909090883</v>
      </c>
      <c r="E23" s="4" t="str">
        <f ca="1">IF(C23="","",_xlfn.FORMULATEXT(C23))</f>
        <v>=SUM(C22:G22)</v>
      </c>
      <c r="F23" s="9"/>
      <c r="O23" s="21"/>
    </row>
    <row r="24" spans="2:15" x14ac:dyDescent="0.2">
      <c r="C24" s="9"/>
      <c r="D24" s="9"/>
      <c r="E24" s="9"/>
      <c r="F24" s="9"/>
      <c r="G24" s="9"/>
    </row>
    <row r="25" spans="2:15" ht="12" x14ac:dyDescent="0.25">
      <c r="B25" s="6" t="s">
        <v>18</v>
      </c>
      <c r="C25" s="10"/>
    </row>
    <row r="26" spans="2:15" ht="12" thickBot="1" x14ac:dyDescent="0.25">
      <c r="B26" s="7" t="s">
        <v>3</v>
      </c>
      <c r="C26" s="11">
        <v>0</v>
      </c>
      <c r="D26" s="7">
        <v>1</v>
      </c>
      <c r="E26" s="11">
        <v>2</v>
      </c>
      <c r="F26" s="11">
        <v>3</v>
      </c>
      <c r="G26" s="7">
        <v>4</v>
      </c>
    </row>
    <row r="27" spans="2:15" ht="12" thickTop="1" x14ac:dyDescent="0.2">
      <c r="B27" s="4" t="s">
        <v>4</v>
      </c>
      <c r="C27" s="24">
        <f>F8</f>
        <v>-200000</v>
      </c>
      <c r="D27" s="24">
        <f>F10</f>
        <v>0</v>
      </c>
      <c r="E27" s="24">
        <f>F11</f>
        <v>0</v>
      </c>
      <c r="F27" s="24">
        <f>F12</f>
        <v>0</v>
      </c>
      <c r="G27" s="24">
        <f>F13</f>
        <v>480000</v>
      </c>
    </row>
    <row r="28" spans="2:15" x14ac:dyDescent="0.2">
      <c r="B28" s="8" t="s">
        <v>5</v>
      </c>
      <c r="C28" s="24">
        <f>C27/((1+$F$7))^C26</f>
        <v>-200000</v>
      </c>
      <c r="D28" s="24">
        <f t="shared" ref="D28:G28" si="1">D27/((1+$F$7))^D26</f>
        <v>0</v>
      </c>
      <c r="E28" s="24">
        <f t="shared" si="1"/>
        <v>0</v>
      </c>
      <c r="F28" s="24">
        <f t="shared" si="1"/>
        <v>0</v>
      </c>
      <c r="G28" s="24">
        <f t="shared" si="1"/>
        <v>327846.45857523382</v>
      </c>
    </row>
    <row r="29" spans="2:15" x14ac:dyDescent="0.2">
      <c r="B29" s="4" t="s">
        <v>6</v>
      </c>
      <c r="C29" s="25">
        <f>SUM(C28:G28)</f>
        <v>127846.45857523382</v>
      </c>
      <c r="E29" s="4" t="str">
        <f ca="1">IF(C29="","",_xlfn.FORMULATEXT(C29))</f>
        <v>=SUM(C28:G28)</v>
      </c>
      <c r="F29" s="9"/>
    </row>
    <row r="30" spans="2:15" x14ac:dyDescent="0.2">
      <c r="C30" s="9"/>
      <c r="D30" s="5"/>
      <c r="E30" s="5"/>
      <c r="F30" s="5"/>
      <c r="G30" s="5"/>
    </row>
    <row r="32" spans="2:15" x14ac:dyDescent="0.2">
      <c r="B32" s="20" t="s">
        <v>14</v>
      </c>
      <c r="C32" s="20"/>
      <c r="D32" s="20"/>
      <c r="E32" s="20"/>
      <c r="F32" s="20"/>
      <c r="G32" s="20"/>
    </row>
    <row r="35" spans="2:5" x14ac:dyDescent="0.2">
      <c r="B35" s="4" t="s">
        <v>19</v>
      </c>
      <c r="C35" s="27">
        <f>IRR(C21:G21)</f>
        <v>0.60000000000000009</v>
      </c>
      <c r="E35" s="4" t="str">
        <f ca="1">IF(C35="","",_xlfn.FORMULATEXT(C35))</f>
        <v>=IRR(C21:G21)</v>
      </c>
    </row>
    <row r="36" spans="2:5" x14ac:dyDescent="0.2">
      <c r="B36" s="4" t="s">
        <v>20</v>
      </c>
      <c r="C36" s="27">
        <f>IRR(C27:G27)</f>
        <v>0.2446659545769565</v>
      </c>
      <c r="E36" s="4" t="str">
        <f ca="1">IF(C36="","",_xlfn.FORMULATEXT(C36))</f>
        <v>=IRR(C27:G27)</v>
      </c>
    </row>
  </sheetData>
  <phoneticPr fontId="11" type="noConversion"/>
  <printOptions gridLines="1"/>
  <pageMargins left="0.75" right="0.75" top="1" bottom="1" header="0.5" footer="0.5"/>
  <pageSetup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NPV vs IRR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2023-02-07T06:54:26Z</dcterms:modified>
</cp:coreProperties>
</file>