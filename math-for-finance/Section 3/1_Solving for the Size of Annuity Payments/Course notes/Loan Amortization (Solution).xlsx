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0" documentId="13_ncr:1_{7866784D-CB7C-451B-8A8A-67044DA6BFD4}" xr6:coauthVersionLast="47" xr6:coauthVersionMax="47" xr10:uidLastSave="{E70910EE-6738-4547-ACEB-9D43BF5BF959}"/>
  <bookViews>
    <workbookView xWindow="-120" yWindow="-120" windowWidth="38640" windowHeight="21120" xr2:uid="{00000000-000D-0000-FFFF-FFFF00000000}"/>
  </bookViews>
  <sheets>
    <sheet name="Loan Amortization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3" l="1"/>
  <c r="C12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C25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C23" i="3"/>
  <c r="C22" i="3" l="1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</calcChain>
</file>

<file path=xl/sharedStrings.xml><?xml version="1.0" encoding="utf-8"?>
<sst xmlns="http://schemas.openxmlformats.org/spreadsheetml/2006/main" count="19" uniqueCount="13">
  <si>
    <t>Timeline</t>
  </si>
  <si>
    <t>Input Data</t>
  </si>
  <si>
    <t>Output</t>
  </si>
  <si>
    <t>Loan Amount</t>
  </si>
  <si>
    <t>Interest rate / Year</t>
  </si>
  <si>
    <t>Number of years</t>
  </si>
  <si>
    <t>Year</t>
  </si>
  <si>
    <t>Beginning Principal Balance</t>
  </si>
  <si>
    <t>Payment</t>
  </si>
  <si>
    <t>Interest Component</t>
  </si>
  <si>
    <t>Principal Component</t>
  </si>
  <si>
    <t>Loan Amortization</t>
  </si>
  <si>
    <t>Task: Fill in the table using the data below and the Excel functions (PMT), (IPMT), and (PPMT)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</si>
</sst>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0" fontId="6" fillId="2" borderId="0" xfId="4" applyFont="1" applyFill="1"/>
    <xf numFmtId="7" fontId="6" fillId="2" borderId="0" xfId="4" applyNumberFormat="1" applyFont="1" applyFill="1"/>
    <xf numFmtId="0" fontId="7" fillId="2" borderId="0" xfId="4" applyFont="1" applyFill="1"/>
    <xf numFmtId="0" fontId="6" fillId="2" borderId="1" xfId="4" applyFont="1" applyFill="1" applyBorder="1"/>
    <xf numFmtId="0" fontId="6" fillId="2" borderId="0" xfId="4" applyFont="1" applyFill="1" applyAlignment="1">
      <alignment wrapText="1"/>
    </xf>
    <xf numFmtId="8" fontId="6" fillId="2" borderId="0" xfId="4" applyNumberFormat="1" applyFont="1" applyFill="1"/>
    <xf numFmtId="7" fontId="6" fillId="2" borderId="0" xfId="5" applyNumberFormat="1" applyFont="1" applyFill="1" applyBorder="1"/>
    <xf numFmtId="37" fontId="6" fillId="2" borderId="1" xfId="5" applyNumberFormat="1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37" fontId="6" fillId="2" borderId="0" xfId="5" applyNumberFormat="1" applyFont="1" applyFill="1" applyBorder="1"/>
    <xf numFmtId="0" fontId="6" fillId="2" borderId="0" xfId="4" applyFont="1" applyFill="1" applyAlignment="1">
      <alignment horizontal="right"/>
    </xf>
    <xf numFmtId="8" fontId="5" fillId="2" borderId="0" xfId="4" applyNumberFormat="1" applyFont="1" applyFill="1" applyAlignment="1">
      <alignment horizontal="right" wrapText="1"/>
    </xf>
    <xf numFmtId="9" fontId="6" fillId="2" borderId="0" xfId="4" applyNumberFormat="1" applyFont="1" applyFill="1" applyAlignment="1">
      <alignment horizontal="right"/>
    </xf>
    <xf numFmtId="6" fontId="6" fillId="2" borderId="0" xfId="4" applyNumberFormat="1" applyFont="1" applyFill="1"/>
    <xf numFmtId="7" fontId="6" fillId="2" borderId="1" xfId="4" applyNumberFormat="1" applyFont="1" applyFill="1" applyBorder="1"/>
    <xf numFmtId="49" fontId="5" fillId="2" borderId="0" xfId="4" applyNumberFormat="1" applyFont="1" applyFill="1" applyAlignment="1">
      <alignment horizontal="center" wrapText="1"/>
    </xf>
    <xf numFmtId="0" fontId="8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Amortization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'Loan Amortization'!$B$23</c:f>
              <c:strCache>
                <c:ptCount val="1"/>
                <c:pt idx="0">
                  <c:v>Payment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'Loan Amortization'!$C$23:$V$23</c:f>
              <c:numCache>
                <c:formatCode>"$"#,##0.00_);\("$"#,##0.00\)</c:formatCode>
                <c:ptCount val="20"/>
                <c:pt idx="0">
                  <c:v>28317.877722976707</c:v>
                </c:pt>
                <c:pt idx="1">
                  <c:v>28317.877722976707</c:v>
                </c:pt>
                <c:pt idx="2">
                  <c:v>28317.877722976707</c:v>
                </c:pt>
                <c:pt idx="3">
                  <c:v>28317.877722976707</c:v>
                </c:pt>
                <c:pt idx="4">
                  <c:v>28317.877722976707</c:v>
                </c:pt>
                <c:pt idx="5">
                  <c:v>28317.877722976707</c:v>
                </c:pt>
                <c:pt idx="6">
                  <c:v>28317.877722976707</c:v>
                </c:pt>
                <c:pt idx="7">
                  <c:v>28317.877722976707</c:v>
                </c:pt>
                <c:pt idx="8">
                  <c:v>28317.877722976707</c:v>
                </c:pt>
                <c:pt idx="9">
                  <c:v>28317.877722976707</c:v>
                </c:pt>
                <c:pt idx="10">
                  <c:v>28317.877722976707</c:v>
                </c:pt>
                <c:pt idx="11">
                  <c:v>28317.877722976707</c:v>
                </c:pt>
                <c:pt idx="12">
                  <c:v>28317.877722976707</c:v>
                </c:pt>
                <c:pt idx="13">
                  <c:v>28317.877722976707</c:v>
                </c:pt>
                <c:pt idx="14">
                  <c:v>28317.877722976707</c:v>
                </c:pt>
                <c:pt idx="15">
                  <c:v>28317.877722976707</c:v>
                </c:pt>
                <c:pt idx="16">
                  <c:v>28317.877722976707</c:v>
                </c:pt>
                <c:pt idx="17">
                  <c:v>28317.877722976707</c:v>
                </c:pt>
                <c:pt idx="18">
                  <c:v>28317.877722976707</c:v>
                </c:pt>
                <c:pt idx="19">
                  <c:v>28317.877722976707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F-4750-8A58-9756C19E5341}"/>
            </c:ext>
          </c:extLst>
        </c:ser>
        <c:ser>
          <c:idx val="1"/>
          <c:order val="1"/>
          <c:tx>
            <c:strRef>
              <c:f>'Loan Amortization'!$B$24</c:f>
              <c:strCache>
                <c:ptCount val="1"/>
                <c:pt idx="0">
                  <c:v>Interest Component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'Loan Amortization'!$C$24:$V$24</c:f>
              <c:numCache>
                <c:formatCode>"$"#,##0.00_);[Red]\("$"#,##0.00\)</c:formatCode>
                <c:ptCount val="20"/>
                <c:pt idx="0">
                  <c:v>21000.000000000004</c:v>
                </c:pt>
                <c:pt idx="1">
                  <c:v>20487.748559391632</c:v>
                </c:pt>
                <c:pt idx="2">
                  <c:v>19939.639517940675</c:v>
                </c:pt>
                <c:pt idx="3">
                  <c:v>19353.162843588154</c:v>
                </c:pt>
                <c:pt idx="4">
                  <c:v>18725.632802030952</c:v>
                </c:pt>
                <c:pt idx="5">
                  <c:v>18054.175657564749</c:v>
                </c:pt>
                <c:pt idx="6">
                  <c:v>17335.716512985917</c:v>
                </c:pt>
                <c:pt idx="7">
                  <c:v>16566.965228286557</c:v>
                </c:pt>
                <c:pt idx="8">
                  <c:v>15744.40135365825</c:v>
                </c:pt>
                <c:pt idx="9">
                  <c:v>14864.258007805953</c:v>
                </c:pt>
                <c:pt idx="10">
                  <c:v>13922.504627744001</c:v>
                </c:pt>
                <c:pt idx="11">
                  <c:v>12914.828511077712</c:v>
                </c:pt>
                <c:pt idx="12">
                  <c:v>11836.615066244785</c:v>
                </c:pt>
                <c:pt idx="13">
                  <c:v>10682.926680273549</c:v>
                </c:pt>
                <c:pt idx="14">
                  <c:v>9448.4801072843293</c:v>
                </c:pt>
                <c:pt idx="15">
                  <c:v>8127.622274185861</c:v>
                </c:pt>
                <c:pt idx="16">
                  <c:v>6714.3043927705012</c:v>
                </c:pt>
                <c:pt idx="17">
                  <c:v>5202.0542596560672</c:v>
                </c:pt>
                <c:pt idx="18">
                  <c:v>3583.9466172236221</c:v>
                </c:pt>
                <c:pt idx="19">
                  <c:v>1852.5714398209063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BF-4750-8A58-9756C19E5341}"/>
            </c:ext>
          </c:extLst>
        </c:ser>
        <c:ser>
          <c:idx val="2"/>
          <c:order val="2"/>
          <c:tx>
            <c:strRef>
              <c:f>'Loan Amortization'!$B$25</c:f>
              <c:strCache>
                <c:ptCount val="1"/>
                <c:pt idx="0">
                  <c:v>Principal Component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'Loan Amortization'!$C$25:$V$25</c:f>
              <c:numCache>
                <c:formatCode>"$"#,##0.00_);[Red]\("$"#,##0.00\)</c:formatCode>
                <c:ptCount val="20"/>
                <c:pt idx="0">
                  <c:v>7317.8777229767084</c:v>
                </c:pt>
                <c:pt idx="1">
                  <c:v>7830.1291635850785</c:v>
                </c:pt>
                <c:pt idx="2">
                  <c:v>8378.238205036032</c:v>
                </c:pt>
                <c:pt idx="3">
                  <c:v>8964.7148793885535</c:v>
                </c:pt>
                <c:pt idx="4">
                  <c:v>9592.2449209457536</c:v>
                </c:pt>
                <c:pt idx="5">
                  <c:v>10263.702065411957</c:v>
                </c:pt>
                <c:pt idx="6">
                  <c:v>10982.161209990794</c:v>
                </c:pt>
                <c:pt idx="7">
                  <c:v>11750.91249469015</c:v>
                </c:pt>
                <c:pt idx="8">
                  <c:v>12573.476369318458</c:v>
                </c:pt>
                <c:pt idx="9">
                  <c:v>13453.619715170751</c:v>
                </c:pt>
                <c:pt idx="10">
                  <c:v>14395.373095232702</c:v>
                </c:pt>
                <c:pt idx="11">
                  <c:v>15403.049211898993</c:v>
                </c:pt>
                <c:pt idx="12">
                  <c:v>16481.262656731924</c:v>
                </c:pt>
                <c:pt idx="13">
                  <c:v>17634.95104270316</c:v>
                </c:pt>
                <c:pt idx="14">
                  <c:v>18869.397615692378</c:v>
                </c:pt>
                <c:pt idx="15">
                  <c:v>20190.255448790846</c:v>
                </c:pt>
                <c:pt idx="16">
                  <c:v>21603.573330206204</c:v>
                </c:pt>
                <c:pt idx="17">
                  <c:v>23115.823463320638</c:v>
                </c:pt>
                <c:pt idx="18">
                  <c:v>24733.931105753087</c:v>
                </c:pt>
                <c:pt idx="19">
                  <c:v>26465.306283155802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BF-4750-8A58-9756C19E5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657983"/>
        <c:axId val="475657567"/>
      </c:lineChart>
      <c:catAx>
        <c:axId val="47565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57567"/>
        <c:crosses val="autoZero"/>
        <c:auto val="1"/>
        <c:lblAlgn val="ctr"/>
        <c:lblOffset val="100"/>
        <c:noMultiLvlLbl val="0"/>
      </c:catAx>
      <c:valAx>
        <c:axId val="47565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5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</xdr:colOff>
      <xdr:row>27</xdr:row>
      <xdr:rowOff>88582</xdr:rowOff>
    </xdr:from>
    <xdr:to>
      <xdr:col>7</xdr:col>
      <xdr:colOff>514350</xdr:colOff>
      <xdr:row>48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9D7E26-1E0F-467F-BBB9-7303FB980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V27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22" width="11.42578125" style="4" bestFit="1" customWidth="1"/>
    <col min="23" max="16384" width="9" style="4"/>
  </cols>
  <sheetData>
    <row r="1" spans="2:22" ht="13.15" customHeight="1" x14ac:dyDescent="0.2">
      <c r="B1" s="15" t="s">
        <v>11</v>
      </c>
      <c r="E1" s="12"/>
      <c r="F1" s="13"/>
      <c r="G1" s="12"/>
      <c r="J1" s="14"/>
      <c r="L1" s="14"/>
      <c r="M1" s="12"/>
    </row>
    <row r="2" spans="2:22" ht="12.75" customHeight="1" x14ac:dyDescent="0.2"/>
    <row r="3" spans="2:22" ht="12.75" customHeight="1" x14ac:dyDescent="0.2">
      <c r="B3" s="23" t="s">
        <v>12</v>
      </c>
    </row>
    <row r="4" spans="2:22" ht="12.75" customHeight="1" x14ac:dyDescent="0.2"/>
    <row r="5" spans="2:22" ht="12.75" thickBot="1" x14ac:dyDescent="0.25">
      <c r="B5" s="1" t="s">
        <v>1</v>
      </c>
      <c r="C5" s="2"/>
      <c r="D5" s="7"/>
      <c r="E5" s="7"/>
      <c r="F5" s="2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22" ht="12.75" thickTop="1" x14ac:dyDescent="0.2">
      <c r="B6" s="3" t="s">
        <v>3</v>
      </c>
      <c r="C6" s="18">
        <v>300000</v>
      </c>
      <c r="F6" s="5"/>
      <c r="H6" s="5"/>
      <c r="I6" s="5"/>
      <c r="J6" s="5"/>
      <c r="K6" s="5"/>
    </row>
    <row r="7" spans="2:22" x14ac:dyDescent="0.2">
      <c r="B7" s="4" t="s">
        <v>4</v>
      </c>
      <c r="C7" s="19">
        <v>7.0000000000000007E-2</v>
      </c>
      <c r="F7" s="5"/>
      <c r="H7" s="5"/>
      <c r="I7" s="5"/>
      <c r="J7" s="5"/>
      <c r="K7" s="5"/>
    </row>
    <row r="8" spans="2:22" x14ac:dyDescent="0.2">
      <c r="B8" s="4" t="s">
        <v>5</v>
      </c>
      <c r="C8" s="17">
        <v>20</v>
      </c>
      <c r="F8" s="5"/>
      <c r="H8" s="5"/>
      <c r="I8" s="5"/>
      <c r="J8" s="5"/>
      <c r="K8" s="5"/>
    </row>
    <row r="10" spans="2:22" x14ac:dyDescent="0.2">
      <c r="B10" s="6" t="s">
        <v>0</v>
      </c>
      <c r="C10" s="10"/>
      <c r="K10" s="5"/>
      <c r="L10" s="5"/>
      <c r="M10" s="5"/>
    </row>
    <row r="11" spans="2:22" ht="12.75" thickBot="1" x14ac:dyDescent="0.25">
      <c r="B11" s="7" t="s">
        <v>6</v>
      </c>
      <c r="C11" s="11">
        <v>1</v>
      </c>
      <c r="D11" s="7">
        <v>2</v>
      </c>
      <c r="E11" s="11">
        <v>3</v>
      </c>
      <c r="F11" s="7">
        <v>4</v>
      </c>
      <c r="G11" s="11">
        <v>5</v>
      </c>
      <c r="H11" s="7">
        <v>6</v>
      </c>
      <c r="I11" s="11">
        <v>7</v>
      </c>
      <c r="J11" s="7">
        <v>8</v>
      </c>
      <c r="K11" s="11">
        <v>9</v>
      </c>
      <c r="L11" s="7">
        <v>10</v>
      </c>
      <c r="M11" s="11">
        <v>11</v>
      </c>
      <c r="N11" s="7">
        <v>12</v>
      </c>
      <c r="O11" s="11">
        <v>13</v>
      </c>
      <c r="P11" s="7">
        <v>14</v>
      </c>
      <c r="Q11" s="11">
        <v>15</v>
      </c>
      <c r="R11" s="7">
        <v>16</v>
      </c>
      <c r="S11" s="11">
        <v>17</v>
      </c>
      <c r="T11" s="7">
        <v>18</v>
      </c>
      <c r="U11" s="11">
        <v>19</v>
      </c>
      <c r="V11" s="7">
        <v>20</v>
      </c>
    </row>
    <row r="12" spans="2:22" ht="12.75" thickTop="1" x14ac:dyDescent="0.2">
      <c r="B12" s="4" t="s">
        <v>7</v>
      </c>
      <c r="C12" s="20">
        <f>C6</f>
        <v>300000</v>
      </c>
      <c r="D12" s="20">
        <f>C12-C15</f>
        <v>300000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2:22" x14ac:dyDescent="0.2">
      <c r="B13" s="8" t="s">
        <v>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2:22" x14ac:dyDescent="0.2">
      <c r="B14" s="4" t="s">
        <v>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2:22" x14ac:dyDescent="0.2">
      <c r="B15" s="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7" spans="2:22" ht="12.75" thickBot="1" x14ac:dyDescent="0.25">
      <c r="B17" s="1" t="s">
        <v>2</v>
      </c>
      <c r="C17" s="2"/>
      <c r="D17" s="7"/>
      <c r="E17" s="7"/>
      <c r="F17" s="21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 ht="12.75" thickTop="1" x14ac:dyDescent="0.2">
      <c r="B18" s="3"/>
      <c r="C18" s="22"/>
      <c r="F18" s="5"/>
    </row>
    <row r="19" spans="2:22" x14ac:dyDescent="0.2">
      <c r="C19" s="16"/>
      <c r="E19" s="16"/>
      <c r="G19" s="16"/>
    </row>
    <row r="20" spans="2:22" x14ac:dyDescent="0.2">
      <c r="B20" s="6" t="s">
        <v>0</v>
      </c>
      <c r="C20" s="10"/>
      <c r="K20" s="5"/>
      <c r="L20" s="5"/>
      <c r="M20" s="5"/>
    </row>
    <row r="21" spans="2:22" ht="12.75" thickBot="1" x14ac:dyDescent="0.25">
      <c r="B21" s="7" t="s">
        <v>6</v>
      </c>
      <c r="C21" s="11">
        <v>1</v>
      </c>
      <c r="D21" s="7">
        <v>2</v>
      </c>
      <c r="E21" s="11">
        <v>3</v>
      </c>
      <c r="F21" s="7">
        <v>4</v>
      </c>
      <c r="G21" s="11">
        <v>5</v>
      </c>
      <c r="H21" s="7">
        <v>6</v>
      </c>
      <c r="I21" s="11">
        <v>7</v>
      </c>
      <c r="J21" s="7">
        <v>8</v>
      </c>
      <c r="K21" s="11">
        <v>9</v>
      </c>
      <c r="L21" s="7">
        <v>10</v>
      </c>
      <c r="M21" s="11">
        <v>11</v>
      </c>
      <c r="N21" s="7">
        <v>12</v>
      </c>
      <c r="O21" s="11">
        <v>13</v>
      </c>
      <c r="P21" s="7">
        <v>14</v>
      </c>
      <c r="Q21" s="11">
        <v>15</v>
      </c>
      <c r="R21" s="7">
        <v>16</v>
      </c>
      <c r="S21" s="11">
        <v>17</v>
      </c>
      <c r="T21" s="7">
        <v>18</v>
      </c>
      <c r="U21" s="11">
        <v>19</v>
      </c>
      <c r="V21" s="7">
        <v>20</v>
      </c>
    </row>
    <row r="22" spans="2:22" ht="12.75" thickTop="1" x14ac:dyDescent="0.2">
      <c r="B22" s="4" t="s">
        <v>7</v>
      </c>
      <c r="C22" s="20">
        <f>C6</f>
        <v>300000</v>
      </c>
      <c r="D22" s="20">
        <f>C22-C25</f>
        <v>292682.12227702327</v>
      </c>
      <c r="E22" s="20">
        <f t="shared" ref="E22:V22" si="0">D22-D25</f>
        <v>284851.99311343819</v>
      </c>
      <c r="F22" s="20">
        <f t="shared" si="0"/>
        <v>276473.75490840216</v>
      </c>
      <c r="G22" s="20">
        <f t="shared" si="0"/>
        <v>267509.04002901359</v>
      </c>
      <c r="H22" s="20">
        <f t="shared" si="0"/>
        <v>257916.79510806783</v>
      </c>
      <c r="I22" s="20">
        <f t="shared" si="0"/>
        <v>247653.09304265588</v>
      </c>
      <c r="J22" s="20">
        <f t="shared" si="0"/>
        <v>236670.93183266508</v>
      </c>
      <c r="K22" s="20">
        <f t="shared" si="0"/>
        <v>224920.01933797493</v>
      </c>
      <c r="L22" s="20">
        <f t="shared" si="0"/>
        <v>212346.54296865646</v>
      </c>
      <c r="M22" s="20">
        <f t="shared" si="0"/>
        <v>198892.9232534857</v>
      </c>
      <c r="N22" s="20">
        <f t="shared" si="0"/>
        <v>184497.550158253</v>
      </c>
      <c r="O22" s="20">
        <f t="shared" si="0"/>
        <v>169094.500946354</v>
      </c>
      <c r="P22" s="20">
        <f t="shared" si="0"/>
        <v>152613.23828962207</v>
      </c>
      <c r="Q22" s="20">
        <f t="shared" si="0"/>
        <v>134978.28724691892</v>
      </c>
      <c r="R22" s="20">
        <f t="shared" si="0"/>
        <v>116108.88963122654</v>
      </c>
      <c r="S22" s="20">
        <f t="shared" si="0"/>
        <v>95918.634182435693</v>
      </c>
      <c r="T22" s="20">
        <f t="shared" si="0"/>
        <v>74315.060852229493</v>
      </c>
      <c r="U22" s="20">
        <f t="shared" si="0"/>
        <v>51199.237388908856</v>
      </c>
      <c r="V22" s="20">
        <f t="shared" si="0"/>
        <v>26465.306283155769</v>
      </c>
    </row>
    <row r="23" spans="2:22" x14ac:dyDescent="0.2">
      <c r="B23" s="8" t="s">
        <v>8</v>
      </c>
      <c r="C23" s="5">
        <f>PMT($C$7,$C$8,-$C$6,0)</f>
        <v>28317.877722976707</v>
      </c>
      <c r="D23" s="5">
        <f t="shared" ref="D23:V23" si="1">PMT($C$7,$C$8,-$C$6,0)</f>
        <v>28317.877722976707</v>
      </c>
      <c r="E23" s="5">
        <f t="shared" si="1"/>
        <v>28317.877722976707</v>
      </c>
      <c r="F23" s="5">
        <f t="shared" si="1"/>
        <v>28317.877722976707</v>
      </c>
      <c r="G23" s="5">
        <f t="shared" si="1"/>
        <v>28317.877722976707</v>
      </c>
      <c r="H23" s="5">
        <f t="shared" si="1"/>
        <v>28317.877722976707</v>
      </c>
      <c r="I23" s="5">
        <f t="shared" si="1"/>
        <v>28317.877722976707</v>
      </c>
      <c r="J23" s="5">
        <f t="shared" si="1"/>
        <v>28317.877722976707</v>
      </c>
      <c r="K23" s="5">
        <f t="shared" si="1"/>
        <v>28317.877722976707</v>
      </c>
      <c r="L23" s="5">
        <f t="shared" si="1"/>
        <v>28317.877722976707</v>
      </c>
      <c r="M23" s="5">
        <f t="shared" si="1"/>
        <v>28317.877722976707</v>
      </c>
      <c r="N23" s="5">
        <f t="shared" si="1"/>
        <v>28317.877722976707</v>
      </c>
      <c r="O23" s="5">
        <f t="shared" si="1"/>
        <v>28317.877722976707</v>
      </c>
      <c r="P23" s="5">
        <f t="shared" si="1"/>
        <v>28317.877722976707</v>
      </c>
      <c r="Q23" s="5">
        <f t="shared" si="1"/>
        <v>28317.877722976707</v>
      </c>
      <c r="R23" s="5">
        <f t="shared" si="1"/>
        <v>28317.877722976707</v>
      </c>
      <c r="S23" s="5">
        <f t="shared" si="1"/>
        <v>28317.877722976707</v>
      </c>
      <c r="T23" s="5">
        <f t="shared" si="1"/>
        <v>28317.877722976707</v>
      </c>
      <c r="U23" s="5">
        <f t="shared" si="1"/>
        <v>28317.877722976707</v>
      </c>
      <c r="V23" s="5">
        <f t="shared" si="1"/>
        <v>28317.877722976707</v>
      </c>
    </row>
    <row r="24" spans="2:22" x14ac:dyDescent="0.2">
      <c r="B24" s="4" t="s">
        <v>9</v>
      </c>
      <c r="C24" s="9">
        <f>-IPMT($C$7,C21,$C$8,$C$6)</f>
        <v>21000.000000000004</v>
      </c>
      <c r="D24" s="9">
        <f t="shared" ref="D24:V24" si="2">-IPMT($C$7,D21,$C$8,$C$6)</f>
        <v>20487.748559391632</v>
      </c>
      <c r="E24" s="9">
        <f t="shared" si="2"/>
        <v>19939.639517940675</v>
      </c>
      <c r="F24" s="9">
        <f t="shared" si="2"/>
        <v>19353.162843588154</v>
      </c>
      <c r="G24" s="9">
        <f t="shared" si="2"/>
        <v>18725.632802030952</v>
      </c>
      <c r="H24" s="9">
        <f t="shared" si="2"/>
        <v>18054.175657564749</v>
      </c>
      <c r="I24" s="9">
        <f t="shared" si="2"/>
        <v>17335.716512985917</v>
      </c>
      <c r="J24" s="9">
        <f t="shared" si="2"/>
        <v>16566.965228286557</v>
      </c>
      <c r="K24" s="9">
        <f t="shared" si="2"/>
        <v>15744.40135365825</v>
      </c>
      <c r="L24" s="9">
        <f t="shared" si="2"/>
        <v>14864.258007805953</v>
      </c>
      <c r="M24" s="9">
        <f t="shared" si="2"/>
        <v>13922.504627744001</v>
      </c>
      <c r="N24" s="9">
        <f t="shared" si="2"/>
        <v>12914.828511077712</v>
      </c>
      <c r="O24" s="9">
        <f t="shared" si="2"/>
        <v>11836.615066244785</v>
      </c>
      <c r="P24" s="9">
        <f t="shared" si="2"/>
        <v>10682.926680273549</v>
      </c>
      <c r="Q24" s="9">
        <f t="shared" si="2"/>
        <v>9448.4801072843293</v>
      </c>
      <c r="R24" s="9">
        <f t="shared" si="2"/>
        <v>8127.622274185861</v>
      </c>
      <c r="S24" s="9">
        <f t="shared" si="2"/>
        <v>6714.3043927705012</v>
      </c>
      <c r="T24" s="9">
        <f t="shared" si="2"/>
        <v>5202.0542596560672</v>
      </c>
      <c r="U24" s="9">
        <f t="shared" si="2"/>
        <v>3583.9466172236221</v>
      </c>
      <c r="V24" s="9">
        <f t="shared" si="2"/>
        <v>1852.5714398209063</v>
      </c>
    </row>
    <row r="25" spans="2:22" x14ac:dyDescent="0.2">
      <c r="B25" s="4" t="s">
        <v>10</v>
      </c>
      <c r="C25" s="9">
        <f>PPMT($C$7,C21,$C$8,-$C$6)</f>
        <v>7317.8777229767084</v>
      </c>
      <c r="D25" s="9">
        <f t="shared" ref="D25:V25" si="3">PPMT($C$7,D21,$C$8,-$C$6)</f>
        <v>7830.1291635850785</v>
      </c>
      <c r="E25" s="9">
        <f t="shared" si="3"/>
        <v>8378.238205036032</v>
      </c>
      <c r="F25" s="9">
        <f t="shared" si="3"/>
        <v>8964.7148793885535</v>
      </c>
      <c r="G25" s="9">
        <f t="shared" si="3"/>
        <v>9592.2449209457536</v>
      </c>
      <c r="H25" s="9">
        <f t="shared" si="3"/>
        <v>10263.702065411957</v>
      </c>
      <c r="I25" s="9">
        <f t="shared" si="3"/>
        <v>10982.161209990794</v>
      </c>
      <c r="J25" s="9">
        <f t="shared" si="3"/>
        <v>11750.91249469015</v>
      </c>
      <c r="K25" s="9">
        <f t="shared" si="3"/>
        <v>12573.476369318458</v>
      </c>
      <c r="L25" s="9">
        <f t="shared" si="3"/>
        <v>13453.619715170751</v>
      </c>
      <c r="M25" s="9">
        <f t="shared" si="3"/>
        <v>14395.373095232702</v>
      </c>
      <c r="N25" s="9">
        <f t="shared" si="3"/>
        <v>15403.049211898993</v>
      </c>
      <c r="O25" s="9">
        <f t="shared" si="3"/>
        <v>16481.262656731924</v>
      </c>
      <c r="P25" s="9">
        <f t="shared" si="3"/>
        <v>17634.95104270316</v>
      </c>
      <c r="Q25" s="9">
        <f t="shared" si="3"/>
        <v>18869.397615692378</v>
      </c>
      <c r="R25" s="9">
        <f t="shared" si="3"/>
        <v>20190.255448790846</v>
      </c>
      <c r="S25" s="9">
        <f t="shared" si="3"/>
        <v>21603.573330206204</v>
      </c>
      <c r="T25" s="9">
        <f t="shared" si="3"/>
        <v>23115.823463320638</v>
      </c>
      <c r="U25" s="9">
        <f t="shared" si="3"/>
        <v>24733.931105753087</v>
      </c>
      <c r="V25" s="9">
        <f t="shared" si="3"/>
        <v>26465.306283155802</v>
      </c>
    </row>
    <row r="26" spans="2:22" x14ac:dyDescent="0.2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2:22" x14ac:dyDescent="0.2">
      <c r="C27" s="9"/>
      <c r="D27" s="5"/>
      <c r="E27" s="5"/>
      <c r="F27" s="5"/>
      <c r="G27" s="5"/>
      <c r="H27" s="5"/>
    </row>
  </sheetData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Amortization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2023-01-27T08:52:33Z</dcterms:modified>
</cp:coreProperties>
</file>