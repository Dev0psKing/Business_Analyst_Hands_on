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20" documentId="13_ncr:1_{D783C437-8666-49AA-A1F6-9355780EEEAA}" xr6:coauthVersionLast="47" xr6:coauthVersionMax="47" xr10:uidLastSave="{53AA6AC6-CB38-4A0C-966A-1219BCCC5B6B}"/>
  <bookViews>
    <workbookView xWindow="-120" yWindow="-120" windowWidth="38640" windowHeight="21120" xr2:uid="{00000000-000D-0000-FFFF-FFFF00000000}"/>
  </bookViews>
  <sheets>
    <sheet name="Present Valu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3" l="1"/>
  <c r="E24" i="3"/>
  <c r="F24" i="3"/>
  <c r="G24" i="3"/>
  <c r="H24" i="3"/>
  <c r="C24" i="3"/>
  <c r="C35" i="3"/>
  <c r="D35" i="3"/>
  <c r="E35" i="3"/>
  <c r="F35" i="3"/>
  <c r="G35" i="3"/>
  <c r="H35" i="3"/>
  <c r="C36" i="3" l="1"/>
  <c r="C25" i="3" l="1"/>
</calcChain>
</file>

<file path=xl/sharedStrings.xml><?xml version="1.0" encoding="utf-8"?>
<sst xmlns="http://schemas.openxmlformats.org/spreadsheetml/2006/main" count="20" uniqueCount="12">
  <si>
    <t>Discount Rate / Period</t>
  </si>
  <si>
    <t>Period</t>
  </si>
  <si>
    <t>Cash Flows</t>
  </si>
  <si>
    <t>Timeline</t>
  </si>
  <si>
    <t>Present Value</t>
  </si>
  <si>
    <t>Present Value of Each Cash Flow</t>
  </si>
  <si>
    <t>Method #1</t>
  </si>
  <si>
    <t>Method #2</t>
  </si>
  <si>
    <t>Input Data</t>
  </si>
  <si>
    <t>Output</t>
  </si>
  <si>
    <t>Present Value of Uneven Cash Flows</t>
  </si>
  <si>
    <t>Task: Calculate the present value (PV) of a series of uneven cash flows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</si>
</sst>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1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9" fontId="5" fillId="2" borderId="0" xfId="4" applyNumberFormat="1" applyFont="1" applyFill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7" fillId="2" borderId="0" xfId="4" applyFont="1" applyFill="1" applyAlignment="1">
      <alignment horizontal="center"/>
    </xf>
    <xf numFmtId="0" fontId="8" fillId="2" borderId="0" xfId="4" applyFont="1" applyFill="1"/>
    <xf numFmtId="0" fontId="7" fillId="2" borderId="1" xfId="4" applyFont="1" applyFill="1" applyBorder="1"/>
    <xf numFmtId="0" fontId="7" fillId="2" borderId="0" xfId="4" applyFont="1" applyFill="1" applyAlignment="1">
      <alignment wrapText="1"/>
    </xf>
    <xf numFmtId="8" fontId="7" fillId="2" borderId="0" xfId="4" applyNumberFormat="1" applyFont="1" applyFill="1"/>
    <xf numFmtId="7" fontId="7" fillId="2" borderId="0" xfId="5" applyNumberFormat="1" applyFont="1" applyFill="1" applyBorder="1"/>
    <xf numFmtId="37" fontId="7" fillId="2" borderId="1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9" fillId="2" borderId="0" xfId="4" applyFont="1" applyFill="1" applyAlignment="1">
      <alignment horizontal="center" vertical="center"/>
    </xf>
    <xf numFmtId="7" fontId="7" fillId="2" borderId="2" xfId="4" applyNumberFormat="1" applyFont="1" applyFill="1" applyBorder="1"/>
    <xf numFmtId="7" fontId="7" fillId="2" borderId="1" xfId="4" applyNumberFormat="1" applyFont="1" applyFill="1" applyBorder="1"/>
    <xf numFmtId="0" fontId="9" fillId="2" borderId="0" xfId="4" applyFont="1" applyFill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73B0"/>
                </a:solidFill>
              </a:rPr>
              <a:t>Present Value</a:t>
            </a:r>
          </a:p>
        </c:rich>
      </c:tx>
      <c:overlay val="0"/>
      <c:spPr>
        <a:noFill/>
        <a:ln>
          <a:solidFill>
            <a:srgbClr val="0073B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55653473779357"/>
          <c:y val="0.20856295156083177"/>
          <c:w val="0.5023832948033814"/>
          <c:h val="0.584815379139372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'Present Value'!$B$23</c:f>
              <c:strCache>
                <c:ptCount val="1"/>
                <c:pt idx="0">
                  <c:v>Cash Flows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xVal>
            <c:numRef>
              <c:f>'Present Value'!$C$22:$H$22</c:f>
              <c:numCache>
                <c:formatCode>General</c:formatCode>
                <c:ptCount val="6"/>
                <c:pt idx="0" formatCode="#,##0_);\(#,##0\)">
                  <c:v>0</c:v>
                </c:pt>
                <c:pt idx="1">
                  <c:v>1</c:v>
                </c:pt>
                <c:pt idx="2" formatCode="#,##0_);\(#,##0\)">
                  <c:v>2</c:v>
                </c:pt>
                <c:pt idx="3">
                  <c:v>3</c:v>
                </c:pt>
                <c:pt idx="4" formatCode="#,##0_);\(#,##0\)">
                  <c:v>4</c:v>
                </c:pt>
                <c:pt idx="5">
                  <c:v>5</c:v>
                </c:pt>
              </c:numCache>
            </c:numRef>
          </c:xVal>
          <c:yVal>
            <c:numRef>
              <c:f>'Present Value'!$C$23:$H$23</c:f>
              <c:numCache>
                <c:formatCode>"$"#,##0.00_);\("$"#,##0.00\)</c:formatCode>
                <c:ptCount val="6"/>
                <c:pt idx="0">
                  <c:v>300</c:v>
                </c:pt>
                <c:pt idx="1">
                  <c:v>500</c:v>
                </c:pt>
                <c:pt idx="2">
                  <c:v>600</c:v>
                </c:pt>
                <c:pt idx="3">
                  <c:v>240</c:v>
                </c:pt>
                <c:pt idx="4">
                  <c:v>800</c:v>
                </c:pt>
                <c:pt idx="5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6-4922-BFBF-52C1F7BF1EC9}"/>
            </c:ext>
          </c:extLst>
        </c:ser>
        <c:ser>
          <c:idx val="1"/>
          <c:order val="1"/>
          <c:tx>
            <c:strRef>
              <c:f>'Present Value'!$B$24</c:f>
              <c:strCache>
                <c:ptCount val="1"/>
                <c:pt idx="0">
                  <c:v>Present Value of Each Cash Flow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pPr>
              <a:solidFill>
                <a:schemeClr val="accent5"/>
              </a:solidFill>
              <a:ln w="6350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xVal>
            <c:numRef>
              <c:f>'Present Value'!$C$22:$H$22</c:f>
              <c:numCache>
                <c:formatCode>General</c:formatCode>
                <c:ptCount val="6"/>
                <c:pt idx="0" formatCode="#,##0_);\(#,##0\)">
                  <c:v>0</c:v>
                </c:pt>
                <c:pt idx="1">
                  <c:v>1</c:v>
                </c:pt>
                <c:pt idx="2" formatCode="#,##0_);\(#,##0\)">
                  <c:v>2</c:v>
                </c:pt>
                <c:pt idx="3">
                  <c:v>3</c:v>
                </c:pt>
                <c:pt idx="4" formatCode="#,##0_);\(#,##0\)">
                  <c:v>4</c:v>
                </c:pt>
                <c:pt idx="5">
                  <c:v>5</c:v>
                </c:pt>
              </c:numCache>
            </c:numRef>
          </c:xVal>
          <c:yVal>
            <c:numRef>
              <c:f>'Present Value'!$C$24:$H$24</c:f>
              <c:numCache>
                <c:formatCode>"$"#,##0.00_);\("$"#,##0.00\)</c:formatCode>
                <c:ptCount val="6"/>
                <c:pt idx="0">
                  <c:v>300</c:v>
                </c:pt>
                <c:pt idx="1">
                  <c:v>446.42857142857139</c:v>
                </c:pt>
                <c:pt idx="2">
                  <c:v>478.31632653061217</c:v>
                </c:pt>
                <c:pt idx="3">
                  <c:v>170.8272594752186</c:v>
                </c:pt>
                <c:pt idx="4">
                  <c:v>508.41446272386492</c:v>
                </c:pt>
                <c:pt idx="5">
                  <c:v>567.4268557185992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66-4922-BFBF-52C1F7BF1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50912"/>
        <c:axId val="98553216"/>
      </c:scatterChart>
      <c:valAx>
        <c:axId val="98550912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3216"/>
        <c:crosses val="autoZero"/>
        <c:crossBetween val="midCat"/>
        <c:majorUnit val="1"/>
      </c:valAx>
      <c:valAx>
        <c:axId val="98553216"/>
        <c:scaling>
          <c:orientation val="minMax"/>
          <c:max val="1400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&quot;$&quot;#,##0.00_);\(&quot;$&quot;#,##0.00\)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0912"/>
        <c:crosses val="autoZero"/>
        <c:crossBetween val="midCat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71614190610279727"/>
          <c:y val="0.42670008945511034"/>
          <c:w val="0.26719136929075932"/>
          <c:h val="0.30128166563449277"/>
        </c:manualLayout>
      </c:layout>
      <c:overlay val="0"/>
      <c:spPr>
        <a:noFill/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rgbClr val="0073B0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781049</xdr:colOff>
      <xdr:row>17</xdr:row>
      <xdr:rowOff>116205</xdr:rowOff>
    </xdr:from>
    <xdr:to>
      <xdr:col>20</xdr:col>
      <xdr:colOff>295275</xdr:colOff>
      <xdr:row>42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8C64C6-F74A-4509-B013-0B015CCDB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N36"/>
  <sheetViews>
    <sheetView tabSelected="1" workbookViewId="0"/>
  </sheetViews>
  <sheetFormatPr defaultColWidth="9" defaultRowHeight="12" x14ac:dyDescent="0.2"/>
  <cols>
    <col min="1" max="1" width="1.85546875" style="6" customWidth="1"/>
    <col min="2" max="2" width="35.28515625" style="6" customWidth="1"/>
    <col min="3" max="3" width="10.85546875" style="6" customWidth="1"/>
    <col min="4" max="4" width="10.28515625" style="6" customWidth="1"/>
    <col min="5" max="5" width="9.42578125" style="6" customWidth="1"/>
    <col min="6" max="9" width="11.85546875" style="6" customWidth="1"/>
    <col min="10" max="10" width="11.85546875" style="6" bestFit="1" customWidth="1"/>
    <col min="11" max="11" width="8.85546875" style="6" bestFit="1" customWidth="1"/>
    <col min="12" max="12" width="8.85546875" style="6" customWidth="1"/>
    <col min="13" max="13" width="8.5703125" style="6" customWidth="1"/>
    <col min="14" max="16384" width="9" style="6"/>
  </cols>
  <sheetData>
    <row r="1" spans="2:13" ht="13.15" customHeight="1" x14ac:dyDescent="0.2">
      <c r="B1" s="5" t="s">
        <v>10</v>
      </c>
      <c r="E1" s="15"/>
      <c r="F1" s="16"/>
      <c r="G1" s="15"/>
      <c r="J1" s="17"/>
      <c r="L1" s="17"/>
      <c r="M1" s="15"/>
    </row>
    <row r="2" spans="2:13" ht="12.75" customHeight="1" x14ac:dyDescent="0.2"/>
    <row r="3" spans="2:13" ht="12.75" customHeight="1" x14ac:dyDescent="0.2">
      <c r="B3" s="20" t="s">
        <v>11</v>
      </c>
    </row>
    <row r="4" spans="2:13" ht="12.75" customHeight="1" x14ac:dyDescent="0.2"/>
    <row r="5" spans="2:13" ht="12.75" thickBot="1" x14ac:dyDescent="0.25">
      <c r="B5" s="1" t="s">
        <v>8</v>
      </c>
      <c r="C5" s="2"/>
      <c r="D5" s="10"/>
      <c r="E5" s="10"/>
      <c r="F5" s="19"/>
      <c r="G5" s="10"/>
      <c r="H5" s="7"/>
      <c r="I5" s="7"/>
      <c r="J5" s="7"/>
      <c r="K5" s="7"/>
    </row>
    <row r="6" spans="2:13" ht="12.75" thickTop="1" x14ac:dyDescent="0.2">
      <c r="B6" s="3" t="s">
        <v>0</v>
      </c>
      <c r="C6" s="4">
        <v>0.12</v>
      </c>
      <c r="F6" s="7"/>
      <c r="H6" s="7"/>
      <c r="I6" s="7"/>
      <c r="J6" s="7"/>
      <c r="K6" s="7"/>
    </row>
    <row r="7" spans="2:13" x14ac:dyDescent="0.2">
      <c r="C7" s="8"/>
      <c r="F7" s="7"/>
      <c r="H7" s="7"/>
      <c r="I7" s="7"/>
      <c r="J7" s="7"/>
      <c r="K7" s="7"/>
    </row>
    <row r="8" spans="2:13" x14ac:dyDescent="0.2">
      <c r="C8" s="8"/>
      <c r="F8" s="7"/>
      <c r="H8" s="7"/>
      <c r="I8" s="7"/>
      <c r="J8" s="7"/>
      <c r="K8" s="7"/>
    </row>
    <row r="9" spans="2:13" x14ac:dyDescent="0.2">
      <c r="B9" s="9" t="s">
        <v>3</v>
      </c>
      <c r="C9" s="13"/>
      <c r="I9" s="7"/>
      <c r="J9" s="7"/>
      <c r="K9" s="7"/>
    </row>
    <row r="10" spans="2:13" ht="12.75" thickBot="1" x14ac:dyDescent="0.25">
      <c r="B10" s="10" t="s">
        <v>1</v>
      </c>
      <c r="C10" s="14">
        <v>0</v>
      </c>
      <c r="D10" s="10">
        <v>1</v>
      </c>
      <c r="E10" s="14">
        <v>2</v>
      </c>
      <c r="F10" s="10">
        <v>3</v>
      </c>
      <c r="G10" s="14">
        <v>4</v>
      </c>
      <c r="H10" s="10">
        <v>5</v>
      </c>
      <c r="I10" s="7"/>
      <c r="J10" s="7"/>
      <c r="K10" s="7"/>
    </row>
    <row r="11" spans="2:13" ht="12.75" thickTop="1" x14ac:dyDescent="0.2">
      <c r="B11" s="6" t="s">
        <v>2</v>
      </c>
      <c r="C11" s="7">
        <v>300</v>
      </c>
      <c r="D11" s="7">
        <v>500</v>
      </c>
      <c r="E11" s="7">
        <v>600</v>
      </c>
      <c r="F11" s="7">
        <v>240</v>
      </c>
      <c r="G11" s="7">
        <v>800</v>
      </c>
      <c r="H11" s="7">
        <v>1000</v>
      </c>
      <c r="I11" s="7"/>
      <c r="J11" s="7"/>
      <c r="K11" s="7"/>
    </row>
    <row r="12" spans="2:13" x14ac:dyDescent="0.2">
      <c r="C12" s="8"/>
      <c r="F12" s="7"/>
      <c r="H12" s="7"/>
      <c r="I12" s="7"/>
      <c r="J12" s="7"/>
      <c r="K12" s="7"/>
    </row>
    <row r="13" spans="2:13" x14ac:dyDescent="0.2">
      <c r="C13" s="8"/>
      <c r="F13" s="7"/>
      <c r="H13" s="7"/>
      <c r="I13" s="7"/>
      <c r="J13" s="7"/>
      <c r="K13" s="7"/>
    </row>
    <row r="14" spans="2:13" x14ac:dyDescent="0.2">
      <c r="C14" s="8"/>
      <c r="F14" s="7"/>
      <c r="H14" s="7"/>
      <c r="I14" s="7"/>
      <c r="J14" s="7"/>
      <c r="K14" s="7"/>
    </row>
    <row r="15" spans="2:13" x14ac:dyDescent="0.2">
      <c r="C15" s="8"/>
      <c r="F15" s="7"/>
      <c r="H15" s="7"/>
      <c r="I15" s="7"/>
      <c r="J15" s="7"/>
      <c r="K15" s="7"/>
    </row>
    <row r="16" spans="2:13" ht="12.75" thickBot="1" x14ac:dyDescent="0.25">
      <c r="B16" s="1" t="s">
        <v>9</v>
      </c>
      <c r="C16" s="2"/>
      <c r="D16" s="10"/>
      <c r="E16" s="10"/>
      <c r="F16" s="19"/>
      <c r="G16" s="10"/>
      <c r="H16" s="7"/>
      <c r="I16" s="7"/>
      <c r="J16" s="7"/>
      <c r="K16" s="7"/>
    </row>
    <row r="17" spans="2:14" ht="12.75" thickTop="1" x14ac:dyDescent="0.2">
      <c r="C17" s="8"/>
      <c r="F17" s="7"/>
      <c r="H17" s="7"/>
      <c r="I17" s="7"/>
      <c r="J17" s="7"/>
      <c r="K17" s="7"/>
    </row>
    <row r="18" spans="2:14" x14ac:dyDescent="0.2">
      <c r="F18" s="7"/>
      <c r="H18" s="7"/>
      <c r="I18" s="7"/>
      <c r="J18" s="7"/>
      <c r="K18" s="7"/>
    </row>
    <row r="19" spans="2:14" x14ac:dyDescent="0.2">
      <c r="B19" s="6" t="s">
        <v>6</v>
      </c>
      <c r="F19" s="7"/>
      <c r="H19" s="7"/>
      <c r="I19" s="7"/>
      <c r="J19" s="7"/>
      <c r="K19" s="7"/>
    </row>
    <row r="20" spans="2:14" x14ac:dyDescent="0.2">
      <c r="F20" s="7"/>
      <c r="H20" s="7"/>
      <c r="I20" s="7"/>
      <c r="J20" s="7"/>
      <c r="K20" s="7"/>
    </row>
    <row r="21" spans="2:14" x14ac:dyDescent="0.2">
      <c r="B21" s="9" t="s">
        <v>3</v>
      </c>
      <c r="C21" s="13"/>
    </row>
    <row r="22" spans="2:14" ht="12.75" thickBot="1" x14ac:dyDescent="0.25">
      <c r="B22" s="10" t="s">
        <v>1</v>
      </c>
      <c r="C22" s="14">
        <v>0</v>
      </c>
      <c r="D22" s="10">
        <v>1</v>
      </c>
      <c r="E22" s="14">
        <v>2</v>
      </c>
      <c r="F22" s="10">
        <v>3</v>
      </c>
      <c r="G22" s="14">
        <v>4</v>
      </c>
      <c r="H22" s="10">
        <v>5</v>
      </c>
    </row>
    <row r="23" spans="2:14" ht="12.75" thickTop="1" x14ac:dyDescent="0.2">
      <c r="B23" s="6" t="s">
        <v>2</v>
      </c>
      <c r="C23" s="7">
        <v>300</v>
      </c>
      <c r="D23" s="7">
        <v>500</v>
      </c>
      <c r="E23" s="7">
        <v>600</v>
      </c>
      <c r="F23" s="7">
        <v>240</v>
      </c>
      <c r="G23" s="7">
        <v>800</v>
      </c>
      <c r="H23" s="7">
        <v>1000</v>
      </c>
      <c r="K23" s="7"/>
      <c r="L23" s="7"/>
      <c r="M23" s="7"/>
    </row>
    <row r="24" spans="2:14" x14ac:dyDescent="0.2">
      <c r="B24" s="11" t="s">
        <v>5</v>
      </c>
      <c r="C24" s="7">
        <f>-PV($C$6,C22,0,C23)</f>
        <v>300</v>
      </c>
      <c r="D24" s="7">
        <f t="shared" ref="D24:H24" si="0">-PV($C$6,D22,0,D23)</f>
        <v>446.42857142857139</v>
      </c>
      <c r="E24" s="7">
        <f t="shared" si="0"/>
        <v>478.31632653061217</v>
      </c>
      <c r="F24" s="7">
        <f t="shared" si="0"/>
        <v>170.8272594752186</v>
      </c>
      <c r="G24" s="7">
        <f t="shared" si="0"/>
        <v>508.41446272386492</v>
      </c>
      <c r="H24" s="7">
        <f t="shared" si="0"/>
        <v>567.4268557185992</v>
      </c>
      <c r="K24" s="7"/>
      <c r="L24" s="7"/>
      <c r="M24" s="7"/>
    </row>
    <row r="25" spans="2:14" x14ac:dyDescent="0.2">
      <c r="B25" s="6" t="s">
        <v>4</v>
      </c>
      <c r="C25" s="18">
        <f>SUM(C24:H24)</f>
        <v>2471.4134758768664</v>
      </c>
      <c r="D25" s="7"/>
      <c r="E25" s="7"/>
      <c r="F25" s="7"/>
      <c r="G25" s="7"/>
      <c r="K25" s="7"/>
      <c r="L25" s="7"/>
      <c r="M25" s="7"/>
      <c r="N25" s="7"/>
    </row>
    <row r="26" spans="2:14" x14ac:dyDescent="0.2">
      <c r="C26" s="12"/>
      <c r="D26" s="7"/>
      <c r="E26" s="7"/>
      <c r="F26" s="7"/>
      <c r="G26" s="7"/>
      <c r="H26" s="7"/>
      <c r="K26" s="7"/>
      <c r="L26" s="7"/>
      <c r="M26" s="7"/>
      <c r="N26" s="7"/>
    </row>
    <row r="29" spans="2:14" x14ac:dyDescent="0.2">
      <c r="B29" s="6" t="s">
        <v>7</v>
      </c>
    </row>
    <row r="32" spans="2:14" x14ac:dyDescent="0.2">
      <c r="B32" s="9" t="s">
        <v>3</v>
      </c>
      <c r="C32" s="13"/>
    </row>
    <row r="33" spans="2:8" ht="12.75" thickBot="1" x14ac:dyDescent="0.25">
      <c r="B33" s="10" t="s">
        <v>1</v>
      </c>
      <c r="C33" s="14">
        <v>0</v>
      </c>
      <c r="D33" s="10">
        <v>1</v>
      </c>
      <c r="E33" s="14">
        <v>2</v>
      </c>
      <c r="F33" s="10">
        <v>3</v>
      </c>
      <c r="G33" s="14">
        <v>4</v>
      </c>
      <c r="H33" s="10">
        <v>5</v>
      </c>
    </row>
    <row r="34" spans="2:8" ht="12.75" thickTop="1" x14ac:dyDescent="0.2">
      <c r="B34" s="6" t="s">
        <v>2</v>
      </c>
      <c r="C34" s="7">
        <v>300</v>
      </c>
      <c r="D34" s="7">
        <v>500</v>
      </c>
      <c r="E34" s="7">
        <v>600</v>
      </c>
      <c r="F34" s="7">
        <v>240</v>
      </c>
      <c r="G34" s="7">
        <v>800</v>
      </c>
      <c r="H34" s="7">
        <v>1000</v>
      </c>
    </row>
    <row r="35" spans="2:8" x14ac:dyDescent="0.2">
      <c r="B35" s="11" t="s">
        <v>5</v>
      </c>
      <c r="C35" s="7">
        <f>C34/((1+$C$6)^C33)</f>
        <v>300</v>
      </c>
      <c r="D35" s="7">
        <f t="shared" ref="D35:H35" si="1">D34/(1+$C$6)^D33</f>
        <v>446.42857142857139</v>
      </c>
      <c r="E35" s="7">
        <f t="shared" si="1"/>
        <v>478.31632653061217</v>
      </c>
      <c r="F35" s="7">
        <f t="shared" si="1"/>
        <v>170.8272594752186</v>
      </c>
      <c r="G35" s="7">
        <f t="shared" si="1"/>
        <v>508.41446272386492</v>
      </c>
      <c r="H35" s="7">
        <f t="shared" si="1"/>
        <v>567.4268557185992</v>
      </c>
    </row>
    <row r="36" spans="2:8" x14ac:dyDescent="0.2">
      <c r="B36" s="6" t="s">
        <v>4</v>
      </c>
      <c r="C36" s="18">
        <f>SUM(C35:H35)</f>
        <v>2471.4134758768664</v>
      </c>
      <c r="D36" s="7"/>
      <c r="E36" s="7"/>
      <c r="F36" s="7"/>
      <c r="G36" s="7"/>
    </row>
  </sheetData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 Value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2023-01-27T08:25:01Z</dcterms:modified>
</cp:coreProperties>
</file>