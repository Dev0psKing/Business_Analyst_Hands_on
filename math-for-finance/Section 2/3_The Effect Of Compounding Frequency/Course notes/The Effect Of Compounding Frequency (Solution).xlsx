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6" documentId="13_ncr:1_{3ED2FBB7-564C-4D14-8B73-0B8745940912}" xr6:coauthVersionLast="47" xr6:coauthVersionMax="47" xr10:uidLastSave="{54E11E3C-16AF-4191-A46E-3A9B2E9FE057}"/>
  <bookViews>
    <workbookView xWindow="-120" yWindow="-120" windowWidth="38640" windowHeight="21120" xr2:uid="{00000000-000D-0000-FFFF-FFFF00000000}"/>
  </bookViews>
  <sheets>
    <sheet name="Future Value " sheetId="3" r:id="rId1"/>
    <sheet name="Present Value" sheetId="5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5" l="1"/>
  <c r="C10" i="5" a="1"/>
  <c r="C10" i="5" s="1"/>
  <c r="C27" i="5" s="1"/>
  <c r="H25" i="3"/>
  <c r="C18" i="3"/>
  <c r="D27" i="5"/>
  <c r="I25" i="3"/>
  <c r="G20" i="5" l="1"/>
  <c r="H21" i="5" s="1"/>
  <c r="D18" i="3"/>
  <c r="D19" i="3" l="1"/>
  <c r="E18" i="3"/>
  <c r="F20" i="5"/>
  <c r="E20" i="5" s="1"/>
  <c r="F21" i="5" s="1"/>
  <c r="F18" i="3" l="1"/>
  <c r="E19" i="3"/>
  <c r="G21" i="5"/>
  <c r="D20" i="5"/>
  <c r="E21" i="5" s="1"/>
  <c r="G18" i="3" l="1"/>
  <c r="F19" i="3"/>
  <c r="C20" i="5"/>
  <c r="C22" i="5" s="1"/>
  <c r="H18" i="3" l="1"/>
  <c r="G19" i="3"/>
  <c r="D21" i="5"/>
  <c r="H20" i="3" l="1"/>
  <c r="H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<sst xmlns="http://schemas.openxmlformats.org/spreadsheetml/2006/main" count="32" uniqueCount="21">
  <si>
    <t>Present Value</t>
  </si>
  <si>
    <t>Period</t>
  </si>
  <si>
    <t>Timeline</t>
  </si>
  <si>
    <t>Initial Investment</t>
  </si>
  <si>
    <t>Annual Interest Rate</t>
  </si>
  <si>
    <t>Years</t>
  </si>
  <si>
    <t>Future Value of an Investment</t>
  </si>
  <si>
    <t>Investment + Accumulated Interest</t>
  </si>
  <si>
    <t xml:space="preserve">Interest Earned </t>
  </si>
  <si>
    <t>Compounding periods per year</t>
  </si>
  <si>
    <t>Compounding Frequency</t>
  </si>
  <si>
    <t>Monthly</t>
  </si>
  <si>
    <t>Future Value</t>
  </si>
  <si>
    <t>Future Value (using formula)</t>
  </si>
  <si>
    <t>Future Payment</t>
  </si>
  <si>
    <t>Present Value (using formula)</t>
  </si>
  <si>
    <t>Present Value of an Investment</t>
  </si>
  <si>
    <t>Input Data</t>
  </si>
  <si>
    <t>Output</t>
  </si>
  <si>
    <t>Task: Calculate the future value (FV) of $1,000 at the end of Year 5 using the data below</t>
  </si>
  <si>
    <t>Task: Calculate the present value (PV) of $1,000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</si>
</sst>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0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4" applyFont="1" applyFill="1"/>
    <xf numFmtId="7" fontId="6" fillId="2" borderId="0" xfId="4" applyNumberFormat="1" applyFont="1" applyFill="1"/>
    <xf numFmtId="0" fontId="7" fillId="2" borderId="0" xfId="4" applyFont="1" applyFill="1"/>
    <xf numFmtId="0" fontId="6" fillId="2" borderId="1" xfId="4" applyFont="1" applyFill="1" applyBorder="1"/>
    <xf numFmtId="0" fontId="6" fillId="2" borderId="0" xfId="4" applyFont="1" applyFill="1" applyAlignment="1">
      <alignment wrapText="1"/>
    </xf>
    <xf numFmtId="8" fontId="6" fillId="2" borderId="0" xfId="4" applyNumberFormat="1" applyFont="1" applyFill="1"/>
    <xf numFmtId="7" fontId="6" fillId="2" borderId="0" xfId="5" applyNumberFormat="1" applyFont="1" applyFill="1" applyBorder="1"/>
    <xf numFmtId="37" fontId="6" fillId="2" borderId="1" xfId="5" applyNumberFormat="1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37" fontId="6" fillId="2" borderId="0" xfId="5" applyNumberFormat="1" applyFont="1" applyFill="1" applyBorder="1"/>
    <xf numFmtId="0" fontId="6" fillId="2" borderId="0" xfId="4" applyFont="1" applyFill="1" applyAlignment="1">
      <alignment horizontal="right"/>
    </xf>
    <xf numFmtId="3" fontId="6" fillId="2" borderId="2" xfId="5" applyNumberFormat="1" applyFont="1" applyFill="1" applyBorder="1"/>
    <xf numFmtId="8" fontId="5" fillId="2" borderId="0" xfId="4" applyNumberFormat="1" applyFont="1" applyFill="1" applyAlignment="1">
      <alignment horizontal="right" wrapText="1"/>
    </xf>
    <xf numFmtId="9" fontId="6" fillId="2" borderId="0" xfId="4" applyNumberFormat="1" applyFont="1" applyFill="1" applyAlignment="1">
      <alignment horizontal="right"/>
    </xf>
    <xf numFmtId="3" fontId="6" fillId="2" borderId="0" xfId="5" applyNumberFormat="1" applyFont="1" applyFill="1" applyBorder="1" applyAlignment="1">
      <alignment horizontal="right"/>
    </xf>
    <xf numFmtId="6" fontId="6" fillId="2" borderId="0" xfId="4" applyNumberFormat="1" applyFont="1" applyFill="1"/>
    <xf numFmtId="5" fontId="6" fillId="2" borderId="0" xfId="4" applyNumberFormat="1" applyFont="1" applyFill="1"/>
    <xf numFmtId="8" fontId="6" fillId="2" borderId="3" xfId="4" applyNumberFormat="1" applyFont="1" applyFill="1" applyBorder="1"/>
    <xf numFmtId="5" fontId="6" fillId="2" borderId="3" xfId="4" applyNumberFormat="1" applyFont="1" applyFill="1" applyBorder="1"/>
    <xf numFmtId="6" fontId="6" fillId="2" borderId="3" xfId="4" applyNumberFormat="1" applyFont="1" applyFill="1" applyBorder="1"/>
    <xf numFmtId="7" fontId="6" fillId="2" borderId="1" xfId="4" applyNumberFormat="1" applyFont="1" applyFill="1" applyBorder="1"/>
    <xf numFmtId="49" fontId="5" fillId="2" borderId="0" xfId="4" applyNumberFormat="1" applyFont="1" applyFill="1" applyAlignment="1">
      <alignment horizontal="center" wrapText="1"/>
    </xf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N25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35.28515625" style="4" customWidth="1"/>
    <col min="3" max="3" width="10.85546875" style="4" customWidth="1"/>
    <col min="4" max="4" width="10.28515625" style="4" customWidth="1"/>
    <col min="5" max="5" width="9.42578125" style="4" customWidth="1"/>
    <col min="6" max="9" width="11.85546875" style="4" customWidth="1"/>
    <col min="10" max="10" width="11.85546875" style="4" bestFit="1" customWidth="1"/>
    <col min="11" max="11" width="8.85546875" style="4" bestFit="1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15" t="s">
        <v>6</v>
      </c>
      <c r="E1" s="12"/>
      <c r="F1" s="13"/>
      <c r="G1" s="12"/>
      <c r="J1" s="14"/>
      <c r="L1" s="14"/>
      <c r="M1" s="12"/>
    </row>
    <row r="2" spans="2:13" ht="12.75" customHeight="1" x14ac:dyDescent="0.2"/>
    <row r="3" spans="2:13" ht="12.75" customHeight="1" x14ac:dyDescent="0.2">
      <c r="B3" s="29" t="s">
        <v>19</v>
      </c>
    </row>
    <row r="4" spans="2:13" ht="12.75" customHeight="1" x14ac:dyDescent="0.2"/>
    <row r="5" spans="2:13" ht="12.75" thickBot="1" x14ac:dyDescent="0.25">
      <c r="B5" s="1" t="s">
        <v>17</v>
      </c>
      <c r="C5" s="2"/>
      <c r="D5" s="7"/>
      <c r="E5" s="7"/>
      <c r="F5" s="27"/>
      <c r="G5" s="7"/>
      <c r="H5" s="5"/>
      <c r="I5" s="5"/>
      <c r="J5" s="5"/>
      <c r="K5" s="5"/>
    </row>
    <row r="6" spans="2:13" ht="12.75" thickTop="1" x14ac:dyDescent="0.2">
      <c r="B6" s="3" t="s">
        <v>3</v>
      </c>
      <c r="C6" s="19">
        <v>1000</v>
      </c>
      <c r="F6" s="5"/>
      <c r="H6" s="5"/>
      <c r="I6" s="5"/>
      <c r="J6" s="5"/>
      <c r="K6" s="5"/>
    </row>
    <row r="7" spans="2:13" x14ac:dyDescent="0.2">
      <c r="B7" s="4" t="s">
        <v>4</v>
      </c>
      <c r="C7" s="20">
        <v>0.08</v>
      </c>
      <c r="F7" s="5"/>
      <c r="H7" s="5"/>
      <c r="I7" s="5"/>
      <c r="J7" s="5"/>
      <c r="K7" s="5"/>
    </row>
    <row r="8" spans="2:13" x14ac:dyDescent="0.2">
      <c r="B8" s="4" t="s">
        <v>10</v>
      </c>
      <c r="C8" s="17" t="s">
        <v>11</v>
      </c>
      <c r="F8" s="5"/>
      <c r="H8" s="5"/>
      <c r="I8" s="5"/>
      <c r="J8" s="5"/>
      <c r="K8" s="5"/>
    </row>
    <row r="9" spans="2:13" x14ac:dyDescent="0.2">
      <c r="B9" s="4" t="s">
        <v>5</v>
      </c>
      <c r="C9" s="21">
        <v>5</v>
      </c>
    </row>
    <row r="10" spans="2:13" x14ac:dyDescent="0.2">
      <c r="B10" s="4" t="s">
        <v>9</v>
      </c>
      <c r="C10" s="18">
        <v>12</v>
      </c>
    </row>
    <row r="11" spans="2:13" x14ac:dyDescent="0.2">
      <c r="C11" s="10"/>
    </row>
    <row r="13" spans="2:13" ht="12.75" thickBot="1" x14ac:dyDescent="0.25">
      <c r="B13" s="1" t="s">
        <v>18</v>
      </c>
      <c r="C13" s="2"/>
      <c r="D13" s="7"/>
      <c r="E13" s="7"/>
      <c r="F13" s="27"/>
      <c r="G13" s="7"/>
    </row>
    <row r="14" spans="2:13" ht="12.75" thickTop="1" x14ac:dyDescent="0.2">
      <c r="B14" s="3"/>
      <c r="C14" s="28"/>
      <c r="F14" s="5"/>
    </row>
    <row r="15" spans="2:13" x14ac:dyDescent="0.2">
      <c r="C15" s="16"/>
      <c r="E15" s="16"/>
      <c r="G15" s="16"/>
    </row>
    <row r="16" spans="2:13" x14ac:dyDescent="0.2">
      <c r="B16" s="6" t="s">
        <v>2</v>
      </c>
      <c r="C16" s="10"/>
      <c r="K16" s="5"/>
      <c r="L16" s="5"/>
      <c r="M16" s="5"/>
    </row>
    <row r="17" spans="2:14" ht="12.75" thickBot="1" x14ac:dyDescent="0.25">
      <c r="B17" s="7" t="s">
        <v>1</v>
      </c>
      <c r="C17" s="11">
        <v>0</v>
      </c>
      <c r="D17" s="7">
        <v>1</v>
      </c>
      <c r="E17" s="11">
        <v>2</v>
      </c>
      <c r="F17" s="7">
        <v>3</v>
      </c>
      <c r="G17" s="11">
        <v>4</v>
      </c>
      <c r="H17" s="7">
        <v>5</v>
      </c>
      <c r="K17" s="5"/>
      <c r="L17" s="5"/>
      <c r="M17" s="5"/>
    </row>
    <row r="18" spans="2:14" ht="12.75" thickTop="1" x14ac:dyDescent="0.2">
      <c r="B18" s="4" t="s">
        <v>7</v>
      </c>
      <c r="C18" s="22">
        <f>C6</f>
        <v>1000</v>
      </c>
      <c r="D18" s="22">
        <f>C18*(1+$C$7/$C$10)^(1*$C$10)</f>
        <v>1082.99950680751</v>
      </c>
      <c r="E18" s="22">
        <f>D18*(1+$C$7/$C$10)^(1*$C$10)</f>
        <v>1172.88793174531</v>
      </c>
      <c r="F18" s="22">
        <f>E18*(1+$C$7/$C$10)^(1*$C$10)</f>
        <v>1270.2370516206511</v>
      </c>
      <c r="G18" s="22">
        <f>F18*(1+$C$7/$C$10)^(1*$C$10)</f>
        <v>1375.6661004337907</v>
      </c>
      <c r="H18" s="22">
        <f>G18*(1+$C$7/$C$10)^(1*$C$10)</f>
        <v>1489.8457083016058</v>
      </c>
      <c r="K18" s="5"/>
      <c r="L18" s="5"/>
      <c r="M18" s="5"/>
      <c r="N18" s="5"/>
    </row>
    <row r="19" spans="2:14" x14ac:dyDescent="0.2">
      <c r="B19" s="8" t="s">
        <v>8</v>
      </c>
      <c r="C19" s="5"/>
      <c r="D19" s="23">
        <f>D18-C18</f>
        <v>82.999506807509988</v>
      </c>
      <c r="E19" s="23">
        <f t="shared" ref="E19:H19" si="0">E18-D18</f>
        <v>89.888424937799982</v>
      </c>
      <c r="F19" s="23">
        <f t="shared" si="0"/>
        <v>97.349119875341103</v>
      </c>
      <c r="G19" s="23">
        <f t="shared" si="0"/>
        <v>105.42904881313962</v>
      </c>
      <c r="H19" s="23">
        <f t="shared" si="0"/>
        <v>114.17960786781509</v>
      </c>
      <c r="K19" s="5"/>
      <c r="L19" s="5"/>
      <c r="M19" s="5"/>
      <c r="N19" s="5"/>
    </row>
    <row r="20" spans="2:14" x14ac:dyDescent="0.2">
      <c r="B20" s="4" t="s">
        <v>12</v>
      </c>
      <c r="D20" s="5"/>
      <c r="E20" s="5"/>
      <c r="F20" s="5"/>
      <c r="G20" s="5"/>
      <c r="H20" s="25">
        <f>H18</f>
        <v>1489.8457083016058</v>
      </c>
    </row>
    <row r="21" spans="2:14" x14ac:dyDescent="0.2">
      <c r="C21" s="9"/>
      <c r="D21" s="5"/>
      <c r="E21" s="5"/>
      <c r="F21" s="5"/>
      <c r="G21" s="5"/>
      <c r="H21" s="5"/>
    </row>
    <row r="25" spans="2:14" x14ac:dyDescent="0.2">
      <c r="B25" s="4" t="s">
        <v>13</v>
      </c>
      <c r="H25" s="24">
        <f>-FV(C7/C10,C9*C10,0,C6)</f>
        <v>1489.845708301606</v>
      </c>
      <c r="I25" s="4" t="str">
        <f ca="1">_xlfn.FORMULATEXT(H25)</f>
        <v>=-FV(C7/C10,C9*C10,0,C6)</v>
      </c>
    </row>
  </sheetData>
  <dataValidations count="1">
    <dataValidation type="list" allowBlank="1" showInputMessage="1" showErrorMessage="1" sqref="C8" xr:uid="{C3C80081-8D0B-452D-9178-8E8426BC4B5E}">
      <formula1>"Daily,Weekly,Monthly,Quarterly,Semiannual,Annual"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C5D1-88D2-43B5-BE7B-11601B985167}">
  <dimension ref="B1:N27"/>
  <sheetViews>
    <sheetView workbookViewId="0"/>
  </sheetViews>
  <sheetFormatPr defaultColWidth="9" defaultRowHeight="12" x14ac:dyDescent="0.2"/>
  <cols>
    <col min="1" max="1" width="1.85546875" style="4" customWidth="1"/>
    <col min="2" max="2" width="35.28515625" style="4" customWidth="1"/>
    <col min="3" max="3" width="10.85546875" style="4" customWidth="1"/>
    <col min="4" max="4" width="10.28515625" style="4" customWidth="1"/>
    <col min="5" max="5" width="9.42578125" style="4" customWidth="1"/>
    <col min="6" max="9" width="11.85546875" style="4" customWidth="1"/>
    <col min="10" max="10" width="11.85546875" style="4" bestFit="1" customWidth="1"/>
    <col min="11" max="11" width="8.85546875" style="4" bestFit="1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15" t="s">
        <v>16</v>
      </c>
      <c r="E1" s="12"/>
      <c r="F1" s="13"/>
      <c r="G1" s="12"/>
      <c r="J1" s="14"/>
      <c r="L1" s="14"/>
      <c r="M1" s="12"/>
    </row>
    <row r="2" spans="2:13" ht="12.75" customHeight="1" x14ac:dyDescent="0.2"/>
    <row r="3" spans="2:13" ht="12.75" customHeight="1" x14ac:dyDescent="0.2">
      <c r="B3" s="29" t="s">
        <v>20</v>
      </c>
    </row>
    <row r="4" spans="2:13" ht="12.75" customHeight="1" x14ac:dyDescent="0.2"/>
    <row r="5" spans="2:13" ht="12.75" thickBot="1" x14ac:dyDescent="0.25">
      <c r="B5" s="1" t="s">
        <v>17</v>
      </c>
      <c r="C5" s="2"/>
      <c r="D5" s="7"/>
      <c r="E5" s="7"/>
      <c r="F5" s="27"/>
      <c r="G5" s="7"/>
      <c r="H5" s="5"/>
      <c r="I5" s="5"/>
      <c r="J5" s="5"/>
      <c r="K5" s="5"/>
    </row>
    <row r="6" spans="2:13" ht="12.75" thickTop="1" x14ac:dyDescent="0.2">
      <c r="B6" s="3" t="s">
        <v>14</v>
      </c>
      <c r="C6" s="19">
        <v>1000</v>
      </c>
      <c r="F6" s="5"/>
      <c r="H6" s="5"/>
      <c r="I6" s="5"/>
      <c r="J6" s="5"/>
      <c r="K6" s="5"/>
    </row>
    <row r="7" spans="2:13" x14ac:dyDescent="0.2">
      <c r="B7" s="4" t="s">
        <v>4</v>
      </c>
      <c r="C7" s="20">
        <v>0.08</v>
      </c>
      <c r="F7" s="5"/>
      <c r="H7" s="5"/>
      <c r="I7" s="5"/>
      <c r="J7" s="5"/>
      <c r="K7" s="5"/>
    </row>
    <row r="8" spans="2:13" x14ac:dyDescent="0.2">
      <c r="B8" s="4" t="s">
        <v>10</v>
      </c>
      <c r="C8" s="17" t="s">
        <v>11</v>
      </c>
      <c r="F8" s="5"/>
      <c r="H8" s="5"/>
      <c r="I8" s="5"/>
      <c r="J8" s="5"/>
      <c r="K8" s="5"/>
    </row>
    <row r="9" spans="2:13" x14ac:dyDescent="0.2">
      <c r="B9" s="4" t="s">
        <v>5</v>
      </c>
      <c r="C9" s="21">
        <v>5</v>
      </c>
    </row>
    <row r="10" spans="2:13" x14ac:dyDescent="0.2">
      <c r="B10" s="4" t="s">
        <v>9</v>
      </c>
      <c r="C10" s="18" cm="1">
        <f t="array" ref="C10">_xlfn.IFS(C8="Daily",365,C8="Weekly",52,C8="Monthly",12,C8="Quarterly",4,C8="Semiannual",2,C8="Annual",1)</f>
        <v>12</v>
      </c>
    </row>
    <row r="11" spans="2:13" x14ac:dyDescent="0.2">
      <c r="C11" s="10"/>
    </row>
    <row r="13" spans="2:13" x14ac:dyDescent="0.2">
      <c r="C13" s="10"/>
    </row>
    <row r="14" spans="2:13" ht="12.75" thickBot="1" x14ac:dyDescent="0.25">
      <c r="B14" s="1" t="s">
        <v>18</v>
      </c>
      <c r="C14" s="2"/>
      <c r="D14" s="7"/>
      <c r="E14" s="7"/>
      <c r="F14" s="27"/>
      <c r="G14" s="7"/>
    </row>
    <row r="15" spans="2:13" ht="12.75" thickTop="1" x14ac:dyDescent="0.2">
      <c r="C15" s="10"/>
    </row>
    <row r="16" spans="2:13" x14ac:dyDescent="0.2">
      <c r="C16" s="10"/>
    </row>
    <row r="17" spans="2:14" x14ac:dyDescent="0.2">
      <c r="C17" s="16"/>
      <c r="E17" s="16"/>
      <c r="G17" s="16"/>
    </row>
    <row r="18" spans="2:14" x14ac:dyDescent="0.2">
      <c r="B18" s="6" t="s">
        <v>2</v>
      </c>
      <c r="C18" s="10"/>
      <c r="K18" s="5"/>
      <c r="L18" s="5"/>
      <c r="M18" s="5"/>
    </row>
    <row r="19" spans="2:14" ht="12.75" thickBot="1" x14ac:dyDescent="0.25">
      <c r="B19" s="7" t="s">
        <v>1</v>
      </c>
      <c r="C19" s="11">
        <v>0</v>
      </c>
      <c r="D19" s="7">
        <v>1</v>
      </c>
      <c r="E19" s="11">
        <v>2</v>
      </c>
      <c r="F19" s="7">
        <v>3</v>
      </c>
      <c r="G19" s="11">
        <v>4</v>
      </c>
      <c r="H19" s="7">
        <v>5</v>
      </c>
      <c r="K19" s="5"/>
      <c r="L19" s="5"/>
      <c r="M19" s="5"/>
    </row>
    <row r="20" spans="2:14" ht="12.75" thickTop="1" x14ac:dyDescent="0.2">
      <c r="B20" s="4" t="s">
        <v>7</v>
      </c>
      <c r="C20" s="22">
        <f>D20/(1+$C$7/$C$10)^(1*$C$10)</f>
        <v>671.21044442916173</v>
      </c>
      <c r="D20" s="22">
        <f>E20/(1+$C$7/$C$10)^(1*$C$10)</f>
        <v>726.9205802808317</v>
      </c>
      <c r="E20" s="22">
        <f>F20/(1+$C$7/$C$10)^(1*$C$10)</f>
        <v>787.25462993236965</v>
      </c>
      <c r="F20" s="22">
        <f>G20/(1+$C$7/$C$10)^(1*$C$10)</f>
        <v>852.59637594868514</v>
      </c>
      <c r="G20" s="22">
        <f>H20/(1+$C$7/$C$10)^(1*$C$10)</f>
        <v>923.36145465829634</v>
      </c>
      <c r="H20" s="22">
        <f>C6</f>
        <v>1000</v>
      </c>
      <c r="K20" s="5"/>
      <c r="L20" s="5"/>
      <c r="M20" s="5"/>
      <c r="N20" s="5"/>
    </row>
    <row r="21" spans="2:14" x14ac:dyDescent="0.2">
      <c r="B21" s="8" t="s">
        <v>8</v>
      </c>
      <c r="C21" s="5"/>
      <c r="D21" s="23">
        <f>D20-C20</f>
        <v>55.710135851669975</v>
      </c>
      <c r="E21" s="23">
        <f t="shared" ref="E21:H21" si="0">E20-D20</f>
        <v>60.334049651537953</v>
      </c>
      <c r="F21" s="23">
        <f t="shared" si="0"/>
        <v>65.341746016315483</v>
      </c>
      <c r="G21" s="23">
        <f t="shared" si="0"/>
        <v>70.765078709611203</v>
      </c>
      <c r="H21" s="23">
        <f t="shared" si="0"/>
        <v>76.638545341703662</v>
      </c>
      <c r="K21" s="5"/>
      <c r="L21" s="5"/>
      <c r="M21" s="5"/>
      <c r="N21" s="5"/>
    </row>
    <row r="22" spans="2:14" x14ac:dyDescent="0.2">
      <c r="B22" s="4" t="s">
        <v>0</v>
      </c>
      <c r="C22" s="25">
        <f>C20</f>
        <v>671.21044442916173</v>
      </c>
      <c r="D22" s="5"/>
      <c r="E22" s="5"/>
      <c r="F22" s="5"/>
      <c r="G22" s="5"/>
      <c r="H22" s="5"/>
    </row>
    <row r="23" spans="2:14" x14ac:dyDescent="0.2">
      <c r="C23" s="9"/>
      <c r="D23" s="5"/>
      <c r="E23" s="5"/>
      <c r="F23" s="5"/>
      <c r="G23" s="5"/>
      <c r="H23" s="5"/>
    </row>
    <row r="27" spans="2:14" x14ac:dyDescent="0.2">
      <c r="B27" s="4" t="s">
        <v>15</v>
      </c>
      <c r="C27" s="26">
        <f>-PV(C7/C10,C9*C10,0,C6)</f>
        <v>671.2104444291615</v>
      </c>
      <c r="D27" s="4" t="str">
        <f ca="1">_xlfn.FORMULATEXT(C27)</f>
        <v>=-PV(C7/C10,C9*C10,0,C6)</v>
      </c>
    </row>
  </sheetData>
  <dataValidations count="1">
    <dataValidation type="list" allowBlank="1" showInputMessage="1" showErrorMessage="1" sqref="C8" xr:uid="{7A4D910A-AB9C-4A18-89AC-338EF53FD836}">
      <formula1>"Daily,Weekly,Monthly,Quarterly,Semiannual,Annual"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Future Value </vt:lpstr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2023-01-27T07:17:33Z</dcterms:modified>
</cp:coreProperties>
</file>