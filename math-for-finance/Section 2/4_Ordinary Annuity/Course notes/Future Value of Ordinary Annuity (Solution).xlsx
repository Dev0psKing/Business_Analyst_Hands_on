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9" documentId="13_ncr:1_{BC910340-65F2-43D2-89CA-B041BEC4A43B}" xr6:coauthVersionLast="47" xr6:coauthVersionMax="47" xr10:uidLastSave="{95BFB2DA-A048-4710-B49E-BD9D71E5CD06}"/>
  <bookViews>
    <workbookView xWindow="-120" yWindow="-120" windowWidth="38640" windowHeight="21120" xr2:uid="{00000000-000D-0000-FFFF-FFFF00000000}"/>
  </bookViews>
  <sheets>
    <sheet name="Future Value of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3" l="1"/>
  <c r="H23" i="3"/>
  <c r="C17" i="3"/>
  <c r="E16" i="3"/>
  <c r="E17" i="3" s="1"/>
  <c r="F16" i="3"/>
  <c r="F17" i="3" s="1"/>
  <c r="G16" i="3"/>
  <c r="G17" i="3" s="1"/>
  <c r="H16" i="3"/>
  <c r="H17" i="3" s="1"/>
  <c r="D16" i="3"/>
  <c r="D17" i="3" s="1"/>
  <c r="H18" i="3" l="1"/>
</calcChain>
</file>

<file path=xl/sharedStrings.xml><?xml version="1.0" encoding="utf-8"?>
<sst xmlns="http://schemas.openxmlformats.org/spreadsheetml/2006/main" count="17" uniqueCount="15">
  <si>
    <t>Timeline</t>
  </si>
  <si>
    <t>Input Data</t>
  </si>
  <si>
    <t>Output</t>
  </si>
  <si>
    <t>Payment</t>
  </si>
  <si>
    <t>Discount rate/Period</t>
  </si>
  <si>
    <t>Number of Periods</t>
  </si>
  <si>
    <t>Period</t>
  </si>
  <si>
    <t>Cash Flows</t>
  </si>
  <si>
    <t>Method #1 (Annuity Future Value Using a Time Line)</t>
  </si>
  <si>
    <t>Future Value</t>
  </si>
  <si>
    <t>FV of Cash Flow</t>
  </si>
  <si>
    <t>Method #2 (Annuity Future Value Using Formula)</t>
  </si>
  <si>
    <t>Method #3 (Annuity Future Value Using the PV Function)</t>
  </si>
  <si>
    <t>Task: Calculate the future value of an ordinary annuity that pays $1,500 per year for 5 years using the data below</t>
  </si>
  <si>
    <t>Future Value of Ordinary Annuity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</si>
</sst>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8" fontId="12" fillId="3" borderId="3" xfId="8" applyNumberFormat="1" applyFont="1" applyFill="1" applyBorder="1"/>
    <xf numFmtId="0" fontId="9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32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14" t="s">
        <v>14</v>
      </c>
      <c r="E1" s="12"/>
      <c r="F1" s="13"/>
      <c r="G1" s="12"/>
    </row>
    <row r="2" spans="2:8" ht="12.75" customHeight="1" x14ac:dyDescent="0.2"/>
    <row r="3" spans="2:8" ht="12.75" customHeight="1" x14ac:dyDescent="0.2">
      <c r="B3" s="24" t="s">
        <v>13</v>
      </c>
    </row>
    <row r="4" spans="2:8" ht="12.75" customHeight="1" x14ac:dyDescent="0.2"/>
    <row r="5" spans="2:8" ht="12.75" thickBot="1" x14ac:dyDescent="0.25">
      <c r="B5" s="1" t="s">
        <v>1</v>
      </c>
      <c r="C5" s="2"/>
      <c r="D5" s="7"/>
      <c r="E5" s="7"/>
      <c r="F5" s="20"/>
      <c r="G5" s="7"/>
      <c r="H5" s="7"/>
    </row>
    <row r="6" spans="2:8" ht="12.75" thickTop="1" x14ac:dyDescent="0.2">
      <c r="B6" s="3" t="s">
        <v>3</v>
      </c>
      <c r="C6" s="17">
        <v>150</v>
      </c>
      <c r="F6" s="5"/>
    </row>
    <row r="7" spans="2:8" x14ac:dyDescent="0.2">
      <c r="B7" s="4" t="s">
        <v>4</v>
      </c>
      <c r="C7" s="18">
        <v>7.0000000000000007E-2</v>
      </c>
      <c r="F7" s="5"/>
    </row>
    <row r="8" spans="2:8" x14ac:dyDescent="0.2">
      <c r="B8" s="4" t="s">
        <v>5</v>
      </c>
      <c r="C8" s="16">
        <v>5</v>
      </c>
      <c r="F8" s="5"/>
    </row>
    <row r="10" spans="2:8" ht="12.75" thickBot="1" x14ac:dyDescent="0.25">
      <c r="B10" s="1" t="s">
        <v>2</v>
      </c>
      <c r="C10" s="2"/>
      <c r="D10" s="7"/>
      <c r="E10" s="7"/>
      <c r="F10" s="20"/>
      <c r="G10" s="7"/>
      <c r="H10" s="7"/>
    </row>
    <row r="11" spans="2:8" ht="12.75" thickTop="1" x14ac:dyDescent="0.2">
      <c r="B11" s="3"/>
      <c r="C11" s="21"/>
      <c r="F11" s="5"/>
    </row>
    <row r="12" spans="2:8" x14ac:dyDescent="0.2">
      <c r="B12" s="22" t="s">
        <v>8</v>
      </c>
      <c r="C12" s="22"/>
      <c r="D12" s="22"/>
      <c r="E12" s="22"/>
      <c r="F12" s="22"/>
      <c r="G12" s="22"/>
      <c r="H12" s="22"/>
    </row>
    <row r="13" spans="2:8" x14ac:dyDescent="0.2">
      <c r="C13" s="15"/>
      <c r="E13" s="15"/>
      <c r="G13" s="15"/>
    </row>
    <row r="14" spans="2:8" x14ac:dyDescent="0.2">
      <c r="B14" s="6" t="s">
        <v>0</v>
      </c>
      <c r="C14" s="10"/>
    </row>
    <row r="15" spans="2:8" ht="12.75" thickBot="1" x14ac:dyDescent="0.25">
      <c r="B15" s="7" t="s">
        <v>6</v>
      </c>
      <c r="C15" s="11">
        <v>0</v>
      </c>
      <c r="D15" s="7">
        <v>1</v>
      </c>
      <c r="E15" s="11">
        <v>2</v>
      </c>
      <c r="F15" s="11">
        <v>3</v>
      </c>
      <c r="G15" s="7">
        <v>4</v>
      </c>
      <c r="H15" s="11">
        <v>5</v>
      </c>
    </row>
    <row r="16" spans="2:8" ht="12.75" thickTop="1" x14ac:dyDescent="0.2">
      <c r="B16" s="4" t="s">
        <v>7</v>
      </c>
      <c r="C16" s="19">
        <v>0</v>
      </c>
      <c r="D16" s="19">
        <f t="shared" ref="D16:H16" si="0">$C$6</f>
        <v>150</v>
      </c>
      <c r="E16" s="19">
        <f t="shared" si="0"/>
        <v>150</v>
      </c>
      <c r="F16" s="19">
        <f t="shared" si="0"/>
        <v>150</v>
      </c>
      <c r="G16" s="19">
        <f t="shared" si="0"/>
        <v>150</v>
      </c>
      <c r="H16" s="19">
        <f t="shared" si="0"/>
        <v>150</v>
      </c>
    </row>
    <row r="17" spans="2:8" x14ac:dyDescent="0.2">
      <c r="B17" s="8" t="s">
        <v>10</v>
      </c>
      <c r="C17" s="5">
        <f>C16*(1+$C$7)^($H$15-C15)</f>
        <v>0</v>
      </c>
      <c r="D17" s="5">
        <f t="shared" ref="D17:H17" si="1">D16*(1+$C$7)^($H$15-D15)</f>
        <v>196.61940150000001</v>
      </c>
      <c r="E17" s="5">
        <f t="shared" si="1"/>
        <v>183.75645000000003</v>
      </c>
      <c r="F17" s="5">
        <f t="shared" si="1"/>
        <v>171.73500000000001</v>
      </c>
      <c r="G17" s="5">
        <f t="shared" si="1"/>
        <v>160.5</v>
      </c>
      <c r="H17" s="5">
        <f t="shared" si="1"/>
        <v>150</v>
      </c>
    </row>
    <row r="18" spans="2:8" x14ac:dyDescent="0.2">
      <c r="B18" s="4" t="s">
        <v>9</v>
      </c>
      <c r="D18" s="9"/>
      <c r="E18" s="9"/>
      <c r="F18" s="9"/>
      <c r="G18" s="9"/>
      <c r="H18" s="23">
        <f>SUM(C17:H17)</f>
        <v>862.61085150000008</v>
      </c>
    </row>
    <row r="19" spans="2:8" x14ac:dyDescent="0.2">
      <c r="C19" s="9"/>
      <c r="D19" s="9"/>
      <c r="E19" s="9"/>
      <c r="F19" s="9"/>
      <c r="G19" s="9"/>
    </row>
    <row r="20" spans="2:8" x14ac:dyDescent="0.2">
      <c r="C20" s="9"/>
      <c r="D20" s="5"/>
      <c r="E20" s="5"/>
      <c r="F20" s="5"/>
      <c r="G20" s="5"/>
    </row>
    <row r="21" spans="2:8" x14ac:dyDescent="0.2">
      <c r="B21" s="22" t="s">
        <v>11</v>
      </c>
      <c r="C21" s="22"/>
      <c r="D21" s="22"/>
      <c r="E21" s="22"/>
      <c r="F21" s="22"/>
      <c r="G21" s="22"/>
      <c r="H21" s="22"/>
    </row>
    <row r="23" spans="2:8" x14ac:dyDescent="0.2">
      <c r="B23" s="4" t="s">
        <v>9</v>
      </c>
      <c r="H23" s="23">
        <f>C6*(((1+C7)^C8)-1)/C7</f>
        <v>862.61085150000031</v>
      </c>
    </row>
    <row r="29" spans="2:8" x14ac:dyDescent="0.2">
      <c r="B29" s="22" t="s">
        <v>12</v>
      </c>
      <c r="C29" s="22"/>
      <c r="D29" s="22"/>
      <c r="E29" s="22"/>
      <c r="F29" s="22"/>
      <c r="G29" s="22"/>
      <c r="H29" s="22"/>
    </row>
    <row r="32" spans="2:8" x14ac:dyDescent="0.2">
      <c r="B32" s="4" t="s">
        <v>9</v>
      </c>
      <c r="H32" s="23">
        <f>FV(C7,C8,-C6,0)</f>
        <v>862.61085150000031</v>
      </c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Value of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2023-01-27T07:53:40Z</dcterms:modified>
</cp:coreProperties>
</file>