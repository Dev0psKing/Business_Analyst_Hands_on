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Mathematics for Finance/Files/"/>
    </mc:Choice>
  </mc:AlternateContent>
  <xr:revisionPtr revIDLastSave="6" documentId="13_ncr:1_{15A9B3C1-26C3-42AE-B1BE-7858D3A0B68E}" xr6:coauthVersionLast="47" xr6:coauthVersionMax="47" xr10:uidLastSave="{F77F1AA5-C655-486D-B5F4-5F3D095DF40D}"/>
  <bookViews>
    <workbookView xWindow="-120" yWindow="-120" windowWidth="38640" windowHeight="21120" xr2:uid="{00000000-000D-0000-FFFF-FFFF00000000}"/>
  </bookViews>
  <sheets>
    <sheet name="Present Value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3" l="1"/>
  <c r="C16" i="3"/>
  <c r="C23" i="3"/>
  <c r="E23" i="3"/>
  <c r="E32" i="3"/>
  <c r="E16" i="3" l="1"/>
  <c r="F16" i="3"/>
  <c r="G16" i="3"/>
  <c r="G17" i="3" s="1"/>
  <c r="E17" i="3"/>
  <c r="F17" i="3"/>
  <c r="C17" i="3"/>
  <c r="D16" i="3"/>
  <c r="D17" i="3" s="1"/>
  <c r="C18" i="3" l="1"/>
</calcChain>
</file>

<file path=xl/sharedStrings.xml><?xml version="1.0" encoding="utf-8"?>
<sst xmlns="http://schemas.openxmlformats.org/spreadsheetml/2006/main" count="17" uniqueCount="15">
  <si>
    <t>Timeline</t>
  </si>
  <si>
    <t>Input Data</t>
  </si>
  <si>
    <t>Output</t>
  </si>
  <si>
    <t>Payment</t>
  </si>
  <si>
    <t>Discount rate/Period</t>
  </si>
  <si>
    <t>Number of Periods</t>
  </si>
  <si>
    <t>Period</t>
  </si>
  <si>
    <t>Cash Flows</t>
  </si>
  <si>
    <t>PV of Cash Flow</t>
  </si>
  <si>
    <t>Present Value</t>
  </si>
  <si>
    <t>Present Value of Annuity Due</t>
  </si>
  <si>
    <t>Method #1 (Annuity Due Present Value Using a Time Line)</t>
  </si>
  <si>
    <t>Method #2  (Annuity Due Present Value Using Formula)</t>
  </si>
  <si>
    <t>Method #3  (Annuity Due Present Value Using the PV Function)</t>
  </si>
  <si>
    <t>Task: Calculate the present value of an annuity due that pays $2,500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</si>
</sst>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8" fontId="12" fillId="3" borderId="3" xfId="8" applyNumberFormat="1" applyFont="1" applyFill="1" applyBorder="1"/>
    <xf numFmtId="37" fontId="7" fillId="2" borderId="1" xfId="5" applyNumberFormat="1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6" fontId="7" fillId="2" borderId="0" xfId="4" applyNumberFormat="1" applyFont="1" applyFill="1" applyAlignment="1">
      <alignment vertical="center"/>
    </xf>
    <xf numFmtId="7" fontId="7" fillId="2" borderId="0" xfId="4" applyNumberFormat="1" applyFont="1" applyFill="1" applyAlignment="1">
      <alignment vertical="center"/>
    </xf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20</xdr:row>
      <xdr:rowOff>0</xdr:rowOff>
    </xdr:from>
    <xdr:to>
      <xdr:col>12</xdr:col>
      <xdr:colOff>393997</xdr:colOff>
      <xdr:row>23</xdr:row>
      <xdr:rowOff>126867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1835D5CA-7C65-4B14-BA71-6FDE2F4EC876}"/>
                </a:ext>
              </a:extLst>
            </xdr:cNvPr>
            <xdr:cNvSpPr txBox="1"/>
          </xdr:nvSpPr>
          <xdr:spPr>
            <a:xfrm>
              <a:off x="5850255" y="2686050"/>
              <a:ext cx="2573317" cy="5554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𝑃𝑉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𝐴𝑛𝑛𝑢𝑖𝑡𝑦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𝐷𝑢𝑒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d>
                      <m:dPr>
                        <m:begChr m:val="["/>
                        <m:endChr m:val="]"/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sSup>
                                  <m:sSupPr>
                                    <m:ctrlP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lang="en-US" sz="1100" i="1"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US" sz="1100" i="1"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1+</m:t>
                                        </m:r>
                                        <m:r>
                                          <a:rPr lang="en-US" sz="1100" i="1"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𝑟</m:t>
                                        </m:r>
                                      </m:e>
                                    </m:d>
                                  </m:e>
                                  <m:sup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</m:sup>
                                </m:sSup>
                              </m:den>
                            </m:f>
                          </m:num>
                          <m:den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den>
                        </m:f>
                      </m:e>
                    </m:d>
                    <m:d>
                      <m:d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1+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</m:d>
                  </m:oMath>
                </m:oMathPara>
              </a14:m>
              <a:endParaRPr lang="en-US">
                <a:effectLst/>
              </a:endParaRPr>
            </a:p>
          </xdr:txBody>
        </xdr:sp>
      </mc:Choice>
      <mc:Fallback xmlns="">
        <xdr:sp macro="" textlink="">
          <xdr:nvSpPr>
            <xdr:cNvPr id="2" name="Object 3">
              <a:extLst>
                <a:ext uri="{FF2B5EF4-FFF2-40B4-BE49-F238E27FC236}">
                  <a16:creationId xmlns:a16="http://schemas.microsoft.com/office/drawing/2014/main" id="{1835D5CA-7C65-4B14-BA71-6FDE2F4EC876}"/>
                </a:ext>
              </a:extLst>
            </xdr:cNvPr>
            <xdr:cNvSpPr txBox="1"/>
          </xdr:nvSpPr>
          <xdr:spPr>
            <a:xfrm>
              <a:off x="5850255" y="2686050"/>
              <a:ext cx="2573317" cy="555492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〖𝑃𝑉〗_(𝐴𝑛𝑛𝑢𝑖𝑡𝑦 𝐷𝑢𝑒)=𝐴[(1−1/(1+𝑟)^𝑁 )/𝑟](1+𝑟)</a:t>
              </a:r>
              <a:endParaRPr lang="en-US">
                <a:effectLst/>
              </a:endParaRPr>
            </a:p>
          </xdr:txBody>
        </xdr:sp>
      </mc:Fallback>
    </mc:AlternateContent>
    <xdr:clientData/>
  </xdr:twoCellAnchor>
  <xdr:twoCellAnchor>
    <xdr:from>
      <xdr:col>3</xdr:col>
      <xdr:colOff>76200</xdr:colOff>
      <xdr:row>22</xdr:row>
      <xdr:rowOff>91440</xdr:rowOff>
    </xdr:from>
    <xdr:to>
      <xdr:col>3</xdr:col>
      <xdr:colOff>590549</xdr:colOff>
      <xdr:row>22</xdr:row>
      <xdr:rowOff>91440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B76DE94-DB8F-4A9C-9794-8B61EF1B5B27}"/>
            </a:ext>
          </a:extLst>
        </xdr:cNvPr>
        <xdr:cNvCxnSpPr/>
      </xdr:nvCxnSpPr>
      <xdr:spPr>
        <a:xfrm flipH="1">
          <a:off x="2562225" y="3063240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22</xdr:row>
      <xdr:rowOff>95250</xdr:rowOff>
    </xdr:from>
    <xdr:to>
      <xdr:col>8</xdr:col>
      <xdr:colOff>74294</xdr:colOff>
      <xdr:row>22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0BBF862-FFDE-4B61-8231-D6226F01E463}"/>
            </a:ext>
          </a:extLst>
        </xdr:cNvPr>
        <xdr:cNvCxnSpPr/>
      </xdr:nvCxnSpPr>
      <xdr:spPr>
        <a:xfrm flipH="1">
          <a:off x="5105400" y="3067050"/>
          <a:ext cx="7886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31</xdr:row>
      <xdr:rowOff>81915</xdr:rowOff>
    </xdr:from>
    <xdr:to>
      <xdr:col>3</xdr:col>
      <xdr:colOff>603884</xdr:colOff>
      <xdr:row>31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3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13" t="s">
        <v>10</v>
      </c>
      <c r="E1" s="11"/>
      <c r="F1" s="12"/>
      <c r="G1" s="11"/>
    </row>
    <row r="2" spans="2:8" ht="12.75" customHeight="1" x14ac:dyDescent="0.2"/>
    <row r="3" spans="2:8" ht="12.75" customHeight="1" x14ac:dyDescent="0.2">
      <c r="B3" s="26" t="s">
        <v>14</v>
      </c>
    </row>
    <row r="4" spans="2:8" ht="12.75" customHeight="1" x14ac:dyDescent="0.2"/>
    <row r="5" spans="2:8" ht="12.75" thickBot="1" x14ac:dyDescent="0.25">
      <c r="B5" s="1" t="s">
        <v>1</v>
      </c>
      <c r="C5" s="2"/>
      <c r="D5" s="7"/>
      <c r="E5" s="7"/>
      <c r="F5" s="18"/>
      <c r="G5" s="7"/>
      <c r="H5" s="7"/>
    </row>
    <row r="6" spans="2:8" ht="12.75" thickTop="1" x14ac:dyDescent="0.2">
      <c r="B6" s="3" t="s">
        <v>3</v>
      </c>
      <c r="C6" s="16">
        <v>2500</v>
      </c>
      <c r="F6" s="5"/>
    </row>
    <row r="7" spans="2:8" x14ac:dyDescent="0.2">
      <c r="B7" s="4" t="s">
        <v>4</v>
      </c>
      <c r="C7" s="17">
        <v>0.05</v>
      </c>
      <c r="F7" s="5"/>
    </row>
    <row r="8" spans="2:8" x14ac:dyDescent="0.2">
      <c r="B8" s="4" t="s">
        <v>5</v>
      </c>
      <c r="C8" s="15">
        <v>5</v>
      </c>
      <c r="F8" s="5"/>
    </row>
    <row r="10" spans="2:8" ht="12.75" thickBot="1" x14ac:dyDescent="0.25">
      <c r="B10" s="1" t="s">
        <v>2</v>
      </c>
      <c r="C10" s="2"/>
      <c r="D10" s="7"/>
      <c r="E10" s="7"/>
      <c r="F10" s="18"/>
      <c r="G10" s="7"/>
      <c r="H10" s="7"/>
    </row>
    <row r="11" spans="2:8" ht="12.75" thickTop="1" x14ac:dyDescent="0.2">
      <c r="B11" s="3"/>
      <c r="C11" s="19"/>
      <c r="F11" s="5"/>
    </row>
    <row r="12" spans="2:8" x14ac:dyDescent="0.2">
      <c r="B12" s="20" t="s">
        <v>11</v>
      </c>
      <c r="C12" s="20"/>
      <c r="D12" s="20"/>
      <c r="E12" s="20"/>
      <c r="F12" s="20"/>
      <c r="G12" s="20"/>
      <c r="H12" s="20"/>
    </row>
    <row r="13" spans="2:8" x14ac:dyDescent="0.2">
      <c r="C13" s="14"/>
      <c r="E13" s="14"/>
      <c r="G13" s="14"/>
    </row>
    <row r="14" spans="2:8" x14ac:dyDescent="0.2">
      <c r="B14" s="6" t="s">
        <v>0</v>
      </c>
      <c r="C14" s="10"/>
    </row>
    <row r="15" spans="2:8" ht="12.75" thickBot="1" x14ac:dyDescent="0.25">
      <c r="B15" s="7" t="s">
        <v>6</v>
      </c>
      <c r="C15" s="22">
        <v>0</v>
      </c>
      <c r="D15" s="23">
        <v>1</v>
      </c>
      <c r="E15" s="22">
        <v>2</v>
      </c>
      <c r="F15" s="22">
        <v>3</v>
      </c>
      <c r="G15" s="23">
        <v>4</v>
      </c>
      <c r="H15" s="22">
        <v>5</v>
      </c>
    </row>
    <row r="16" spans="2:8" ht="12.75" thickTop="1" x14ac:dyDescent="0.2">
      <c r="B16" s="4" t="s">
        <v>7</v>
      </c>
      <c r="C16" s="24">
        <f>$C$6</f>
        <v>2500</v>
      </c>
      <c r="D16" s="24">
        <f t="shared" ref="D16:G16" si="0">$C$6</f>
        <v>2500</v>
      </c>
      <c r="E16" s="24">
        <f t="shared" si="0"/>
        <v>2500</v>
      </c>
      <c r="F16" s="24">
        <f t="shared" si="0"/>
        <v>2500</v>
      </c>
      <c r="G16" s="24">
        <f t="shared" si="0"/>
        <v>2500</v>
      </c>
      <c r="H16" s="24"/>
    </row>
    <row r="17" spans="2:8" x14ac:dyDescent="0.2">
      <c r="B17" s="8" t="s">
        <v>8</v>
      </c>
      <c r="C17" s="25">
        <f>C16/((1+$C$7))^C15</f>
        <v>2500</v>
      </c>
      <c r="D17" s="25">
        <f t="shared" ref="D17:G17" si="1">D16/((1+$C$7))^D15</f>
        <v>2380.9523809523807</v>
      </c>
      <c r="E17" s="25">
        <f t="shared" si="1"/>
        <v>2267.5736961451248</v>
      </c>
      <c r="F17" s="25">
        <f t="shared" si="1"/>
        <v>2159.5939963286901</v>
      </c>
      <c r="G17" s="25">
        <f t="shared" si="1"/>
        <v>2056.756186979705</v>
      </c>
      <c r="H17" s="25"/>
    </row>
    <row r="18" spans="2:8" x14ac:dyDescent="0.2">
      <c r="B18" s="4" t="s">
        <v>9</v>
      </c>
      <c r="C18" s="21">
        <f>SUM(C17:H17)</f>
        <v>11364.876260405899</v>
      </c>
      <c r="D18" s="9"/>
      <c r="E18" s="9"/>
      <c r="F18" s="9"/>
      <c r="G18" s="9"/>
      <c r="H18" s="9"/>
    </row>
    <row r="19" spans="2:8" x14ac:dyDescent="0.2">
      <c r="C19" s="9"/>
      <c r="D19" s="9"/>
      <c r="E19" s="9"/>
      <c r="F19" s="9"/>
      <c r="G19" s="9"/>
    </row>
    <row r="20" spans="2:8" x14ac:dyDescent="0.2">
      <c r="C20" s="9"/>
      <c r="D20" s="5"/>
      <c r="E20" s="5"/>
      <c r="F20" s="5"/>
      <c r="G20" s="5"/>
    </row>
    <row r="21" spans="2:8" x14ac:dyDescent="0.2">
      <c r="B21" s="20" t="s">
        <v>12</v>
      </c>
      <c r="C21" s="20"/>
      <c r="D21" s="20"/>
      <c r="E21" s="20"/>
      <c r="F21" s="20"/>
      <c r="G21" s="20"/>
      <c r="H21" s="20"/>
    </row>
    <row r="23" spans="2:8" x14ac:dyDescent="0.2">
      <c r="B23" s="4" t="s">
        <v>9</v>
      </c>
      <c r="C23" s="21">
        <f>(C6*(1-((1+C7)^(-C8)))/C7)*(1+C7)</f>
        <v>11364.876260405905</v>
      </c>
      <c r="E23" s="4" t="str">
        <f ca="1">_xlfn.FORMULATEXT(C23)</f>
        <v>=(C6*(1-((1+C7)^(-C8)))/C7)*(1+C7)</v>
      </c>
    </row>
    <row r="29" spans="2:8" x14ac:dyDescent="0.2">
      <c r="B29" s="20" t="s">
        <v>13</v>
      </c>
      <c r="C29" s="20"/>
      <c r="D29" s="20"/>
      <c r="E29" s="20"/>
      <c r="F29" s="20"/>
      <c r="G29" s="20"/>
      <c r="H29" s="20"/>
    </row>
    <row r="32" spans="2:8" x14ac:dyDescent="0.2">
      <c r="B32" s="4" t="s">
        <v>9</v>
      </c>
      <c r="C32" s="21">
        <f>PV(C7,C8,-C6,0,1)</f>
        <v>11364.876260405907</v>
      </c>
      <c r="E32" s="4" t="str">
        <f ca="1">_xlfn.FORMULATEXT(C32)</f>
        <v>=PV(C7,C8,-C6,0,1)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2023-03-29T09:34:30Z</dcterms:modified>
</cp:coreProperties>
</file>