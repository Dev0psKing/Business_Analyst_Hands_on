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A6A0E57C-AB61-46AA-B895-A51C3A473481}" xr6:coauthVersionLast="47" xr6:coauthVersionMax="47" xr10:uidLastSave="{4EEDE5CC-E604-4604-8D9B-58CD670D6EBC}"/>
  <bookViews>
    <workbookView xWindow="-120" yWindow="-120" windowWidth="38640" windowHeight="21120" xr2:uid="{00000000-000D-0000-FFFF-FFFF00000000}"/>
  </bookViews>
  <sheets>
    <sheet name="Yield-To-Maturity (YTM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E17" i="3"/>
  <c r="C17" i="3" l="1"/>
</calcChain>
</file>

<file path=xl/sharedStrings.xml><?xml version="1.0" encoding="utf-8"?>
<sst xmlns="http://schemas.openxmlformats.org/spreadsheetml/2006/main" count="11" uniqueCount="11">
  <si>
    <t>Input Data</t>
  </si>
  <si>
    <t>Output</t>
  </si>
  <si>
    <t>Yield-To-Maturity</t>
  </si>
  <si>
    <t>Coupons Per Year</t>
  </si>
  <si>
    <t>Yield-To-Maturity (YTM)</t>
  </si>
  <si>
    <t xml:space="preserve">Face Value </t>
  </si>
  <si>
    <t xml:space="preserve">Bond Price </t>
  </si>
  <si>
    <t xml:space="preserve">Annual Coupon Rate  </t>
  </si>
  <si>
    <t xml:space="preserve">Coupon Payment </t>
  </si>
  <si>
    <t xml:space="preserve">Number of Years to Maturity </t>
  </si>
  <si>
    <t>Task: Calculate the bond's yield-to-maturity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</si>
</sst>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164" fontId="11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16</xdr:row>
      <xdr:rowOff>81915</xdr:rowOff>
    </xdr:from>
    <xdr:to>
      <xdr:col>3</xdr:col>
      <xdr:colOff>603884</xdr:colOff>
      <xdr:row>16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190500</xdr:colOff>
      <xdr:row>15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7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customHeight="1" x14ac:dyDescent="0.2">
      <c r="B3" s="17" t="s">
        <v>10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5</v>
      </c>
      <c r="C6" s="11">
        <v>100</v>
      </c>
      <c r="F6" s="5"/>
    </row>
    <row r="7" spans="2:8" x14ac:dyDescent="0.2">
      <c r="B7" s="3" t="s">
        <v>6</v>
      </c>
      <c r="C7" s="11">
        <v>85</v>
      </c>
      <c r="F7" s="5"/>
    </row>
    <row r="8" spans="2:8" x14ac:dyDescent="0.2">
      <c r="B8" s="4" t="s">
        <v>7</v>
      </c>
      <c r="C8" s="12">
        <v>0.04</v>
      </c>
      <c r="F8" s="5"/>
    </row>
    <row r="9" spans="2:8" x14ac:dyDescent="0.2">
      <c r="B9" s="4" t="s">
        <v>8</v>
      </c>
      <c r="C9" s="15">
        <f>(C8*C6)/C11</f>
        <v>1</v>
      </c>
      <c r="F9" s="5"/>
    </row>
    <row r="10" spans="2:8" x14ac:dyDescent="0.2">
      <c r="B10" s="4" t="s">
        <v>9</v>
      </c>
      <c r="C10" s="10">
        <v>4</v>
      </c>
      <c r="F10" s="5"/>
    </row>
    <row r="11" spans="2:8" x14ac:dyDescent="0.2">
      <c r="B11" s="4" t="s">
        <v>3</v>
      </c>
      <c r="C11" s="10">
        <v>4</v>
      </c>
      <c r="F11" s="5"/>
    </row>
    <row r="14" spans="2:8" ht="12.75" thickBot="1" x14ac:dyDescent="0.25">
      <c r="B14" s="1" t="s">
        <v>1</v>
      </c>
      <c r="C14" s="2"/>
      <c r="D14" s="6"/>
      <c r="E14" s="6"/>
      <c r="F14" s="13"/>
      <c r="G14" s="6"/>
      <c r="H14" s="6"/>
    </row>
    <row r="15" spans="2:8" ht="12.75" thickTop="1" x14ac:dyDescent="0.2">
      <c r="B15" s="3"/>
      <c r="C15" s="14"/>
      <c r="F15" s="5"/>
    </row>
    <row r="17" spans="2:5" x14ac:dyDescent="0.2">
      <c r="B17" s="4" t="s">
        <v>2</v>
      </c>
      <c r="C17" s="16">
        <f>RATE(C10*C11,C9,-C7,C6)*C11</f>
        <v>8.4593032488128231E-2</v>
      </c>
      <c r="E17" s="4" t="str">
        <f ca="1">_xlfn.FORMULATEXT(C17)</f>
        <v>=RATE(C10*C11,C9,-C7,C6)*C11</v>
      </c>
    </row>
  </sheetData>
  <phoneticPr fontId="10" type="noConversion"/>
  <dataValidations count="1">
    <dataValidation type="list" allowBlank="1" showInputMessage="1" showErrorMessage="1" sqref="C11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Yield-To-Maturity (YTM)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2023-01-27T14:13:47Z</dcterms:modified>
</cp:coreProperties>
</file>