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365dsc-my.sharepoint.com/personal/team_365dsc_onmicrosoft_com/Documents/Courses/LMS_Projects/CP - Math for Finance - Applied Financial Math for Decision-Making/Data/"/>
    </mc:Choice>
  </mc:AlternateContent>
  <xr:revisionPtr revIDLastSave="1013" documentId="8_{02856691-EA73-4F78-B0B5-531EAD61197A}" xr6:coauthVersionLast="47" xr6:coauthVersionMax="47" xr10:uidLastSave="{60D59A65-947E-4034-B172-19B06DD18BA5}"/>
  <bookViews>
    <workbookView xWindow="-28920" yWindow="-3765" windowWidth="29040" windowHeight="15720" xr2:uid="{00000000-000D-0000-FFFF-FFFF00000000}"/>
  </bookViews>
  <sheets>
    <sheet name="Case 1" sheetId="17" r:id="rId1"/>
    <sheet name="Case 2" sheetId="18" r:id="rId2"/>
    <sheet name="Case 3" sheetId="19" r:id="rId3"/>
    <sheet name="Case 4" sheetId="20" r:id="rId4"/>
    <sheet name="Case 5" sheetId="16" r:id="rId5"/>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20" l="1"/>
  <c r="F9" i="20" l="1"/>
  <c r="I9" i="20"/>
  <c r="F21" i="17" l="1"/>
  <c r="G21" i="17" s="1"/>
  <c r="H21" i="17" s="1"/>
  <c r="I21" i="17" s="1"/>
  <c r="J21" i="17" s="1"/>
</calcChain>
</file>

<file path=xl/sharedStrings.xml><?xml version="1.0" encoding="utf-8"?>
<sst xmlns="http://schemas.openxmlformats.org/spreadsheetml/2006/main" count="68" uniqueCount="42">
  <si>
    <t>Cash Flows</t>
  </si>
  <si>
    <t>Period (Years)</t>
  </si>
  <si>
    <t>Case</t>
  </si>
  <si>
    <t>A</t>
  </si>
  <si>
    <t>B</t>
  </si>
  <si>
    <t>Bond</t>
  </si>
  <si>
    <t>Price</t>
  </si>
  <si>
    <t>Par Value</t>
  </si>
  <si>
    <t>Coupons Per Year</t>
  </si>
  <si>
    <t>C</t>
  </si>
  <si>
    <t>Time to Maturity (Days)</t>
  </si>
  <si>
    <t>Input Data</t>
  </si>
  <si>
    <t>Investment A</t>
  </si>
  <si>
    <t>Period</t>
  </si>
  <si>
    <t>Investment B</t>
  </si>
  <si>
    <t>Investment C</t>
  </si>
  <si>
    <t>∞</t>
  </si>
  <si>
    <t>Case 1</t>
  </si>
  <si>
    <t>An ordinary annuity that guarantees a fixed payment of $30,000 annually for the next 25 years.</t>
  </si>
  <si>
    <t xml:space="preserve">A delayed annuity that promises to pay $50,000 annually, but payments will only start from the end of the 11th year and continue for 15 years. </t>
  </si>
  <si>
    <t>Cash Flow</t>
  </si>
  <si>
    <t>A growing perpetuity that guarantees an initial payment of $15,000 at the end of the first year, with subsequent annual payments increasing by 2% each year.</t>
  </si>
  <si>
    <t>Year</t>
  </si>
  <si>
    <t>Net returns</t>
  </si>
  <si>
    <t>Case 2</t>
  </si>
  <si>
    <t>Type A</t>
  </si>
  <si>
    <t>Type B</t>
  </si>
  <si>
    <t>Type C</t>
  </si>
  <si>
    <t>Case 3</t>
  </si>
  <si>
    <t>Bond 1</t>
  </si>
  <si>
    <t>Bond 2</t>
  </si>
  <si>
    <t>Bond 3</t>
  </si>
  <si>
    <t xml:space="preserve">Face Value </t>
  </si>
  <si>
    <t xml:space="preserve">Annual Coupon Rate  </t>
  </si>
  <si>
    <t>Annual Discount Rate</t>
  </si>
  <si>
    <t xml:space="preserve">Coupon Payment </t>
  </si>
  <si>
    <t>Number of Years to Maturity</t>
  </si>
  <si>
    <t>Case 5</t>
  </si>
  <si>
    <t>Case 4</t>
  </si>
  <si>
    <t>James Mercer is the chief investment officer of Orion Technologies Inc. He's contemplating initiating a new facility for manufacturing semiconductors utilized in tablets. The establishment of this facility would demand a varying capital outflow contingent on the technology and machinery implemented.
According to data presented in Orion Technologies' financial reports, the opportunity cost of capital for this type of project is 12%. Your task is to calculate the Internal Rate of Return (IRR) and Net Present Value (NPV) for each type of facility.</t>
  </si>
  <si>
    <t>Assets Under Management (AUM,mn)</t>
  </si>
  <si>
    <t>Cash Flows (in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</si>
</sst>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0.0%"/>
  </numFmts>
  <fonts count="15" x14ac:knownFonts="1">
    <font>
      <sz val="11"/>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u/>
      <sz val="10"/>
      <color theme="10"/>
      <name val="Arial"/>
      <family val="2"/>
    </font>
    <font>
      <sz val="10"/>
      <name val="Arial"/>
      <family val="2"/>
    </font>
    <font>
      <b/>
      <sz val="12"/>
      <color rgb="FF0073B0"/>
      <name val="Arial"/>
      <family val="2"/>
    </font>
    <font>
      <sz val="9"/>
      <name val="Arial"/>
      <family val="2"/>
    </font>
    <font>
      <b/>
      <sz val="9"/>
      <name val="Arial"/>
      <family val="2"/>
    </font>
    <font>
      <sz val="9"/>
      <color theme="1"/>
      <name val="Arial"/>
      <family val="2"/>
    </font>
    <font>
      <b/>
      <sz val="9"/>
      <color rgb="FF002060"/>
      <name val="Arial"/>
      <family val="2"/>
    </font>
    <font>
      <sz val="9"/>
      <color indexed="8"/>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ck">
        <color rgb="FF0073B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right/>
      <top/>
      <bottom style="thin">
        <color auto="1"/>
      </bottom>
      <diagonal/>
    </border>
    <border>
      <left/>
      <right/>
      <top style="medium">
        <color rgb="FF0073B0"/>
      </top>
      <bottom style="medium">
        <color rgb="FF0073B0"/>
      </bottom>
      <diagonal/>
    </border>
    <border>
      <left/>
      <right/>
      <top/>
      <bottom style="double">
        <color rgb="FF0073B0"/>
      </bottom>
      <diagonal/>
    </border>
  </borders>
  <cellStyleXfs count="21">
    <xf numFmtId="0" fontId="0" fillId="0" borderId="0"/>
    <xf numFmtId="0" fontId="6" fillId="0" borderId="0" applyNumberFormat="0" applyFill="0" applyBorder="0" applyAlignment="0" applyProtection="0"/>
    <xf numFmtId="0" fontId="5" fillId="0" borderId="0"/>
    <xf numFmtId="0" fontId="7" fillId="0" borderId="0" applyNumberForma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cellStyleXfs>
  <cellXfs count="52">
    <xf numFmtId="0" fontId="0" fillId="0" borderId="0" xfId="0"/>
    <xf numFmtId="0" fontId="10" fillId="2" borderId="0" xfId="4" applyFont="1" applyFill="1"/>
    <xf numFmtId="0" fontId="11" fillId="2" borderId="0" xfId="4" applyFont="1" applyFill="1" applyAlignment="1">
      <alignment horizontal="left" vertical="center"/>
    </xf>
    <xf numFmtId="0" fontId="11" fillId="2" borderId="0" xfId="4" applyFont="1" applyFill="1" applyAlignment="1">
      <alignment horizontal="left" vertical="center" wrapText="1"/>
    </xf>
    <xf numFmtId="0" fontId="11" fillId="2" borderId="0" xfId="4" applyFont="1" applyFill="1" applyAlignment="1">
      <alignment horizontal="center" vertical="center"/>
    </xf>
    <xf numFmtId="0" fontId="10" fillId="2" borderId="0" xfId="4" applyFont="1" applyFill="1" applyAlignment="1">
      <alignment horizontal="center"/>
    </xf>
    <xf numFmtId="0" fontId="10" fillId="2" borderId="1" xfId="4" applyFont="1" applyFill="1" applyBorder="1" applyAlignment="1">
      <alignment horizontal="center"/>
    </xf>
    <xf numFmtId="37" fontId="10" fillId="2" borderId="1" xfId="5" applyNumberFormat="1" applyFont="1" applyFill="1" applyBorder="1" applyAlignment="1">
      <alignment horizontal="center"/>
    </xf>
    <xf numFmtId="0" fontId="10" fillId="2" borderId="0" xfId="4" applyFont="1" applyFill="1" applyAlignment="1">
      <alignment horizontal="center" vertical="center"/>
    </xf>
    <xf numFmtId="8" fontId="10" fillId="2" borderId="0" xfId="4" applyNumberFormat="1" applyFont="1" applyFill="1"/>
    <xf numFmtId="1" fontId="10" fillId="2" borderId="0" xfId="4" applyNumberFormat="1" applyFont="1" applyFill="1" applyAlignment="1">
      <alignment horizontal="center"/>
    </xf>
    <xf numFmtId="0" fontId="10" fillId="2" borderId="0" xfId="4" applyFont="1" applyFill="1" applyAlignment="1">
      <alignment horizontal="left" vertical="top" wrapText="1"/>
    </xf>
    <xf numFmtId="0" fontId="10" fillId="2" borderId="0" xfId="4" applyFont="1" applyFill="1" applyAlignment="1">
      <alignment vertical="center"/>
    </xf>
    <xf numFmtId="10" fontId="10" fillId="2" borderId="0" xfId="4" applyNumberFormat="1" applyFont="1" applyFill="1" applyAlignment="1">
      <alignment horizontal="center" vertical="center"/>
    </xf>
    <xf numFmtId="0" fontId="10" fillId="2" borderId="1" xfId="4" applyFont="1" applyFill="1" applyBorder="1"/>
    <xf numFmtId="7" fontId="10" fillId="2" borderId="1" xfId="4" applyNumberFormat="1" applyFont="1" applyFill="1" applyBorder="1"/>
    <xf numFmtId="49" fontId="14" fillId="2" borderId="1" xfId="4" applyNumberFormat="1" applyFont="1" applyFill="1" applyBorder="1" applyAlignment="1">
      <alignment horizontal="center" wrapText="1"/>
    </xf>
    <xf numFmtId="49" fontId="14" fillId="2" borderId="1" xfId="4" applyNumberFormat="1" applyFont="1" applyFill="1" applyBorder="1" applyAlignment="1">
      <alignment wrapText="1"/>
    </xf>
    <xf numFmtId="0" fontId="10" fillId="2" borderId="5" xfId="4" applyFont="1" applyFill="1" applyBorder="1" applyAlignment="1">
      <alignment horizontal="center" vertical="center" wrapText="1"/>
    </xf>
    <xf numFmtId="0" fontId="9" fillId="2" borderId="0" xfId="16" applyFont="1" applyFill="1" applyAlignment="1">
      <alignment horizontal="left" vertical="center"/>
    </xf>
    <xf numFmtId="0" fontId="9" fillId="2" borderId="0" xfId="18" applyFont="1" applyFill="1" applyAlignment="1">
      <alignment horizontal="left" vertical="center"/>
    </xf>
    <xf numFmtId="0" fontId="10" fillId="2" borderId="0" xfId="4" applyFont="1" applyFill="1" applyAlignment="1">
      <alignment vertical="top" wrapText="1"/>
    </xf>
    <xf numFmtId="0" fontId="10" fillId="2" borderId="0" xfId="4" applyFont="1" applyFill="1" applyAlignment="1">
      <alignment vertical="top"/>
    </xf>
    <xf numFmtId="0" fontId="10" fillId="2" borderId="1" xfId="4" applyFont="1" applyFill="1" applyBorder="1" applyAlignment="1">
      <alignment horizontal="center" vertical="center"/>
    </xf>
    <xf numFmtId="37" fontId="10" fillId="2" borderId="1" xfId="5" applyNumberFormat="1" applyFont="1" applyFill="1" applyBorder="1" applyAlignment="1">
      <alignment horizontal="center" vertical="center"/>
    </xf>
    <xf numFmtId="5" fontId="10" fillId="2" borderId="0" xfId="4" applyNumberFormat="1" applyFont="1" applyFill="1" applyAlignment="1">
      <alignment horizontal="center" vertical="center"/>
    </xf>
    <xf numFmtId="0" fontId="12" fillId="2" borderId="0" xfId="19" applyFont="1" applyFill="1"/>
    <xf numFmtId="0" fontId="13" fillId="2" borderId="0" xfId="19" applyFont="1" applyFill="1"/>
    <xf numFmtId="0" fontId="12" fillId="2" borderId="0" xfId="19" applyFont="1" applyFill="1" applyAlignment="1">
      <alignment horizontal="center"/>
    </xf>
    <xf numFmtId="0" fontId="12" fillId="2" borderId="6" xfId="19" applyFont="1" applyFill="1" applyBorder="1" applyAlignment="1">
      <alignment horizontal="center" vertical="center"/>
    </xf>
    <xf numFmtId="0" fontId="12" fillId="2" borderId="6" xfId="19" applyFont="1" applyFill="1" applyBorder="1" applyAlignment="1">
      <alignment horizontal="center" vertical="center" wrapText="1"/>
    </xf>
    <xf numFmtId="0" fontId="12" fillId="2" borderId="0" xfId="19" applyFont="1" applyFill="1" applyAlignment="1">
      <alignment horizontal="center" vertical="center"/>
    </xf>
    <xf numFmtId="8" fontId="12" fillId="2" borderId="0" xfId="19" applyNumberFormat="1" applyFont="1" applyFill="1" applyAlignment="1">
      <alignment horizontal="center" vertical="center"/>
    </xf>
    <xf numFmtId="9" fontId="12" fillId="2" borderId="0" xfId="19" applyNumberFormat="1" applyFont="1" applyFill="1" applyAlignment="1">
      <alignment horizontal="center" vertical="center"/>
    </xf>
    <xf numFmtId="8" fontId="12" fillId="2" borderId="0" xfId="19" applyNumberFormat="1" applyFont="1" applyFill="1"/>
    <xf numFmtId="164" fontId="10" fillId="2" borderId="0" xfId="4" applyNumberFormat="1" applyFont="1" applyFill="1" applyAlignment="1">
      <alignment horizontal="center"/>
    </xf>
    <xf numFmtId="1" fontId="10" fillId="2" borderId="1" xfId="5" applyNumberFormat="1" applyFont="1" applyFill="1" applyBorder="1" applyAlignment="1">
      <alignment horizontal="center"/>
    </xf>
    <xf numFmtId="1" fontId="10" fillId="2" borderId="1" xfId="4" applyNumberFormat="1" applyFont="1" applyFill="1" applyBorder="1" applyAlignment="1">
      <alignment horizontal="center"/>
    </xf>
    <xf numFmtId="49" fontId="14" fillId="2" borderId="0" xfId="4" applyNumberFormat="1" applyFont="1" applyFill="1" applyAlignment="1">
      <alignment wrapText="1"/>
    </xf>
    <xf numFmtId="49" fontId="14" fillId="2" borderId="0" xfId="4" applyNumberFormat="1" applyFont="1" applyFill="1" applyAlignment="1">
      <alignment horizontal="center" wrapText="1"/>
    </xf>
    <xf numFmtId="7" fontId="10" fillId="2" borderId="0" xfId="4" applyNumberFormat="1" applyFont="1" applyFill="1"/>
    <xf numFmtId="8" fontId="14" fillId="2" borderId="0" xfId="4" applyNumberFormat="1" applyFont="1" applyFill="1" applyAlignment="1">
      <alignment horizontal="right" wrapText="1"/>
    </xf>
    <xf numFmtId="165" fontId="10" fillId="2" borderId="0" xfId="4" applyNumberFormat="1" applyFont="1" applyFill="1" applyAlignment="1">
      <alignment horizontal="right"/>
    </xf>
    <xf numFmtId="9" fontId="10" fillId="2" borderId="0" xfId="4" applyNumberFormat="1" applyFont="1" applyFill="1" applyAlignment="1">
      <alignment horizontal="right"/>
    </xf>
    <xf numFmtId="8" fontId="10" fillId="2" borderId="0" xfId="4" applyNumberFormat="1" applyFont="1" applyFill="1" applyAlignment="1">
      <alignment horizontal="right"/>
    </xf>
    <xf numFmtId="0" fontId="10" fillId="2" borderId="0" xfId="4" applyFont="1" applyFill="1" applyAlignment="1">
      <alignment horizontal="right"/>
    </xf>
    <xf numFmtId="164" fontId="10" fillId="2" borderId="0" xfId="4" applyNumberFormat="1" applyFont="1" applyFill="1" applyAlignment="1">
      <alignment horizontal="center" vertical="center"/>
    </xf>
    <xf numFmtId="0" fontId="11" fillId="2" borderId="4" xfId="4" applyFont="1" applyFill="1" applyBorder="1" applyAlignment="1">
      <alignment vertical="top" wrapText="1"/>
    </xf>
    <xf numFmtId="0" fontId="10" fillId="2" borderId="2" xfId="4" applyFont="1" applyFill="1" applyBorder="1" applyAlignment="1">
      <alignment horizontal="center" vertical="center"/>
    </xf>
    <xf numFmtId="0" fontId="10" fillId="2" borderId="3" xfId="4" applyFont="1" applyFill="1" applyBorder="1" applyAlignment="1">
      <alignment horizontal="center" vertical="center"/>
    </xf>
    <xf numFmtId="0" fontId="10" fillId="2" borderId="0" xfId="4" applyFont="1" applyFill="1" applyAlignment="1">
      <alignment horizontal="left" vertical="top" wrapText="1"/>
    </xf>
    <xf numFmtId="49" fontId="14" fillId="2" borderId="6" xfId="4" applyNumberFormat="1" applyFont="1" applyFill="1" applyBorder="1" applyAlignment="1">
      <alignment horizontal="center" wrapText="1"/>
    </xf>
  </cellXfs>
  <cellStyles count="21">
    <cellStyle name="Comma 2" xfId="7" xr:uid="{4B077D12-3928-4600-A400-DAFE7C142FC5}"/>
    <cellStyle name="Currency 2" xfId="5" xr:uid="{94FA024F-B916-408B-8C26-266C30588648}"/>
    <cellStyle name="Hyperlink 2 2" xfId="3" xr:uid="{5D7F0286-A486-4255-88A6-CC974082901D}"/>
    <cellStyle name="Hyperlink 3" xfId="1" xr:uid="{00000000-0005-0000-0000-000002000000}"/>
    <cellStyle name="Normal" xfId="0" builtinId="0"/>
    <cellStyle name="Normal 10" xfId="15" xr:uid="{8F93F0F7-EEA4-4ECE-9B80-66F6D9762C31}"/>
    <cellStyle name="Normal 10 2" xfId="17" xr:uid="{183AA267-8D0A-4834-920D-1A8EF86B770A}"/>
    <cellStyle name="Normal 10 3" xfId="20" xr:uid="{4DDAB78A-C02D-4140-8F30-78E72884111C}"/>
    <cellStyle name="Normal 2" xfId="4" xr:uid="{C8B3C472-5BD2-4D8A-84EF-2D0D0EC7CCA8}"/>
    <cellStyle name="Normal 2 2 2" xfId="2" xr:uid="{EB4610B0-F08F-4ACB-854F-11FB6CF4D53B}"/>
    <cellStyle name="Normal 2 2 2 2" xfId="8" xr:uid="{3439CB0A-F305-4184-9ACB-94FF40DA43BC}"/>
    <cellStyle name="Normal 2 2 2 2 2" xfId="11" xr:uid="{B7BCCE6D-BA3C-4A82-BABB-E2CE744676D0}"/>
    <cellStyle name="Normal 2 2 2 2 2 2" xfId="16" xr:uid="{8ADFEB70-2D39-49CD-BD89-5AF98691F1BC}"/>
    <cellStyle name="Normal 2 2 2 2 3" xfId="13" xr:uid="{8167E187-D4FD-446A-BE32-3D1C2FCECE0E}"/>
    <cellStyle name="Normal 2 2 2 2 4" xfId="18" xr:uid="{5AE52B1F-57E6-4068-A758-764C40D46921}"/>
    <cellStyle name="Normal 2 2 2 3" xfId="10" xr:uid="{5C49D074-8EA3-4F9D-99F9-ABAD13D9D6E7}"/>
    <cellStyle name="Normal 2 2 2 4" xfId="12" xr:uid="{58D00735-0DE1-4D97-B509-BE706872B223}"/>
    <cellStyle name="Normal 3" xfId="9" xr:uid="{6C8CE0DF-571D-48B3-844B-DA560D4E8E32}"/>
    <cellStyle name="Normal 3 2" xfId="14" xr:uid="{C76409FC-A0CA-4B9D-A853-D5CBA1E3286C}"/>
    <cellStyle name="Normal 3 3" xfId="19" xr:uid="{A805B62E-8BE3-4ECF-9A82-74131D8A088F}"/>
    <cellStyle name="Percent 2" xfId="6" xr:uid="{9E2C98EB-5F37-4587-8FEB-4069EA2B93AB}"/>
  </cellStyles>
  <dxfs count="0"/>
  <tableStyles count="0" defaultTableStyle="TableStyleMedium2" defaultPivotStyle="PivotStyleLight16"/>
  <colors>
    <mruColors>
      <color rgb="FF0073B0"/>
      <color rgb="FF0000FF"/>
      <color rgb="FF132E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10</xdr:col>
      <xdr:colOff>190500</xdr:colOff>
      <xdr:row>13</xdr:row>
      <xdr:rowOff>0</xdr:rowOff>
    </xdr:from>
    <xdr:ext cx="65" cy="172227"/>
    <xdr:sp macro="" textlink="">
      <xdr:nvSpPr>
        <xdr:cNvPr id="2" name="TextBox 1">
          <a:extLst>
            <a:ext uri="{FF2B5EF4-FFF2-40B4-BE49-F238E27FC236}">
              <a16:creationId xmlns:a16="http://schemas.microsoft.com/office/drawing/2014/main" id="{8B2EC7AD-4DFA-48F0-9AB1-A6582D33C08E}"/>
            </a:ext>
          </a:extLst>
        </xdr:cNvPr>
        <xdr:cNvSpPr txBox="1"/>
      </xdr:nvSpPr>
      <xdr:spPr>
        <a:xfrm>
          <a:off x="10039350" y="225837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21</xdr:col>
      <xdr:colOff>0</xdr:colOff>
      <xdr:row>4</xdr:row>
      <xdr:rowOff>0</xdr:rowOff>
    </xdr:from>
    <xdr:ext cx="65" cy="172227"/>
    <xdr:sp macro="" textlink="">
      <xdr:nvSpPr>
        <xdr:cNvPr id="2" name="TextBox 1">
          <a:extLst>
            <a:ext uri="{FF2B5EF4-FFF2-40B4-BE49-F238E27FC236}">
              <a16:creationId xmlns:a16="http://schemas.microsoft.com/office/drawing/2014/main" id="{0B89A577-B738-45EF-AF6C-DF192B4BE2E7}"/>
            </a:ext>
          </a:extLst>
        </xdr:cNvPr>
        <xdr:cNvSpPr txBox="1"/>
      </xdr:nvSpPr>
      <xdr:spPr>
        <a:xfrm>
          <a:off x="12877800" y="657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8</xdr:col>
      <xdr:colOff>190500</xdr:colOff>
      <xdr:row>11</xdr:row>
      <xdr:rowOff>0</xdr:rowOff>
    </xdr:from>
    <xdr:ext cx="65" cy="172227"/>
    <xdr:sp macro="" textlink="">
      <xdr:nvSpPr>
        <xdr:cNvPr id="3" name="TextBox 2">
          <a:extLst>
            <a:ext uri="{FF2B5EF4-FFF2-40B4-BE49-F238E27FC236}">
              <a16:creationId xmlns:a16="http://schemas.microsoft.com/office/drawing/2014/main" id="{75515180-0056-4D2F-9F8B-1D9DAFAE5271}"/>
            </a:ext>
          </a:extLst>
        </xdr:cNvPr>
        <xdr:cNvSpPr txBox="1"/>
      </xdr:nvSpPr>
      <xdr:spPr>
        <a:xfrm>
          <a:off x="5886450" y="2419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E4C4-A5C9-4002-9B57-C8C6127FD8AD}">
  <dimension ref="B1:AC21"/>
  <sheetViews>
    <sheetView tabSelected="1" workbookViewId="0"/>
  </sheetViews>
  <sheetFormatPr defaultRowHeight="11.4" x14ac:dyDescent="0.2"/>
  <cols>
    <col min="1" max="1" width="1.875" style="1" customWidth="1"/>
    <col min="2" max="2" width="18.875" style="1" customWidth="1"/>
    <col min="3" max="3" width="23.25" style="1" customWidth="1"/>
    <col min="4" max="4" width="20.25" style="1" customWidth="1"/>
    <col min="5" max="5" width="12.625" style="1" customWidth="1"/>
    <col min="6" max="7" width="11.875" style="1" customWidth="1"/>
    <col min="8" max="8" width="14.75" style="1" customWidth="1"/>
    <col min="9" max="9" width="8.75" style="1" bestFit="1" customWidth="1"/>
    <col min="10" max="10" width="12.5" style="1" bestFit="1" customWidth="1"/>
    <col min="11" max="13" width="8.75" style="1" bestFit="1" customWidth="1"/>
    <col min="14" max="14" width="13.75" style="1" customWidth="1"/>
    <col min="15" max="15" width="12.5" style="1" bestFit="1" customWidth="1"/>
    <col min="16" max="16384" width="9" style="1"/>
  </cols>
  <sheetData>
    <row r="1" spans="2:29" ht="13.2" customHeight="1" x14ac:dyDescent="0.2">
      <c r="B1" s="20" t="s">
        <v>17</v>
      </c>
      <c r="E1" s="2"/>
      <c r="F1" s="3"/>
      <c r="G1" s="2"/>
      <c r="L1" s="4"/>
      <c r="M1" s="2"/>
    </row>
    <row r="2" spans="2:29" ht="13.2" customHeight="1" x14ac:dyDescent="0.2">
      <c r="B2" s="20"/>
      <c r="E2" s="2"/>
      <c r="F2" s="3"/>
      <c r="G2" s="2"/>
      <c r="L2" s="4"/>
      <c r="M2" s="2"/>
    </row>
    <row r="3" spans="2:29" ht="11.4" customHeight="1" x14ac:dyDescent="0.2">
      <c r="B3" s="47" t="s">
        <v>12</v>
      </c>
      <c r="C3" s="47" t="s">
        <v>14</v>
      </c>
      <c r="D3" s="47" t="s">
        <v>15</v>
      </c>
      <c r="E3" s="21"/>
      <c r="F3" s="21"/>
      <c r="G3" s="21"/>
    </row>
    <row r="4" spans="2:29" ht="99.6" customHeight="1" x14ac:dyDescent="0.2">
      <c r="B4" s="21" t="s">
        <v>18</v>
      </c>
      <c r="C4" s="21" t="s">
        <v>19</v>
      </c>
      <c r="D4" s="21" t="s">
        <v>21</v>
      </c>
      <c r="E4" s="21"/>
      <c r="F4" s="21"/>
      <c r="G4" s="21"/>
    </row>
    <row r="5" spans="2:29" x14ac:dyDescent="0.2">
      <c r="B5" s="21"/>
      <c r="C5" s="21"/>
      <c r="D5" s="21"/>
      <c r="E5" s="21"/>
      <c r="F5" s="21"/>
      <c r="G5" s="21"/>
    </row>
    <row r="6" spans="2:29" x14ac:dyDescent="0.2">
      <c r="B6" s="11"/>
      <c r="C6" s="11"/>
      <c r="D6" s="11"/>
      <c r="E6" s="11"/>
      <c r="F6" s="11"/>
      <c r="G6" s="21"/>
    </row>
    <row r="7" spans="2:29" x14ac:dyDescent="0.2">
      <c r="B7" s="21"/>
      <c r="C7" s="21"/>
      <c r="D7" s="21"/>
      <c r="E7" s="21"/>
      <c r="F7" s="21"/>
      <c r="G7" s="21"/>
    </row>
    <row r="8" spans="2:29" ht="12" thickBot="1" x14ac:dyDescent="0.25">
      <c r="B8" s="17" t="s">
        <v>20</v>
      </c>
      <c r="C8" s="16"/>
      <c r="D8" s="14"/>
      <c r="E8" s="14"/>
      <c r="F8" s="15"/>
      <c r="G8" s="14"/>
    </row>
    <row r="9" spans="2:29" ht="12" thickTop="1" x14ac:dyDescent="0.2">
      <c r="B9" s="21"/>
      <c r="C9" s="21"/>
      <c r="D9" s="21"/>
      <c r="E9" s="21"/>
      <c r="F9" s="21"/>
      <c r="G9" s="21"/>
    </row>
    <row r="10" spans="2:29" x14ac:dyDescent="0.2">
      <c r="B10" s="22"/>
      <c r="C10" s="22"/>
      <c r="D10" s="22"/>
      <c r="E10" s="22"/>
    </row>
    <row r="12" spans="2:29" ht="12" thickBot="1" x14ac:dyDescent="0.25">
      <c r="B12" s="48" t="s">
        <v>12</v>
      </c>
      <c r="C12" s="23" t="s">
        <v>13</v>
      </c>
      <c r="D12" s="23">
        <v>0</v>
      </c>
      <c r="E12" s="23">
        <v>1</v>
      </c>
      <c r="F12" s="24">
        <v>2</v>
      </c>
      <c r="G12" s="24">
        <v>3</v>
      </c>
      <c r="H12" s="23">
        <v>4</v>
      </c>
      <c r="I12" s="24">
        <v>5</v>
      </c>
      <c r="J12" s="24">
        <v>6</v>
      </c>
      <c r="K12" s="23">
        <v>7</v>
      </c>
      <c r="L12" s="24">
        <v>8</v>
      </c>
      <c r="M12" s="24">
        <v>9</v>
      </c>
      <c r="N12" s="23">
        <v>10</v>
      </c>
      <c r="O12" s="24">
        <v>11</v>
      </c>
      <c r="P12" s="23">
        <v>12</v>
      </c>
      <c r="Q12" s="24">
        <v>13</v>
      </c>
      <c r="R12" s="23">
        <v>14</v>
      </c>
      <c r="S12" s="24">
        <v>15</v>
      </c>
      <c r="T12" s="23">
        <v>16</v>
      </c>
      <c r="U12" s="24">
        <v>17</v>
      </c>
      <c r="V12" s="23">
        <v>18</v>
      </c>
      <c r="W12" s="24">
        <v>19</v>
      </c>
      <c r="X12" s="23">
        <v>20</v>
      </c>
      <c r="Y12" s="24">
        <v>21</v>
      </c>
      <c r="Z12" s="23">
        <v>22</v>
      </c>
      <c r="AA12" s="24">
        <v>23</v>
      </c>
      <c r="AB12" s="23">
        <v>24</v>
      </c>
      <c r="AC12" s="24">
        <v>25</v>
      </c>
    </row>
    <row r="13" spans="2:29" ht="12" thickTop="1" x14ac:dyDescent="0.2">
      <c r="B13" s="49"/>
      <c r="C13" s="8" t="s">
        <v>0</v>
      </c>
      <c r="D13" s="8"/>
      <c r="E13" s="25">
        <v>30000</v>
      </c>
      <c r="F13" s="25">
        <v>30000</v>
      </c>
      <c r="G13" s="25">
        <v>30000</v>
      </c>
      <c r="H13" s="25">
        <v>30000</v>
      </c>
      <c r="I13" s="25">
        <v>30000</v>
      </c>
      <c r="J13" s="25">
        <v>30000</v>
      </c>
      <c r="K13" s="25">
        <v>30000</v>
      </c>
      <c r="L13" s="25">
        <v>30000</v>
      </c>
      <c r="M13" s="25">
        <v>30000</v>
      </c>
      <c r="N13" s="25">
        <v>30000</v>
      </c>
      <c r="O13" s="25">
        <v>30000</v>
      </c>
      <c r="P13" s="25">
        <v>30000</v>
      </c>
      <c r="Q13" s="25">
        <v>30000</v>
      </c>
      <c r="R13" s="25">
        <v>30000</v>
      </c>
      <c r="S13" s="25">
        <v>30000</v>
      </c>
      <c r="T13" s="25">
        <v>30000</v>
      </c>
      <c r="U13" s="25">
        <v>30000</v>
      </c>
      <c r="V13" s="25">
        <v>30000</v>
      </c>
      <c r="W13" s="25">
        <v>30000</v>
      </c>
      <c r="X13" s="25">
        <v>30000</v>
      </c>
      <c r="Y13" s="25">
        <v>30000</v>
      </c>
      <c r="Z13" s="25">
        <v>30000</v>
      </c>
      <c r="AA13" s="25">
        <v>30000</v>
      </c>
      <c r="AB13" s="25">
        <v>30000</v>
      </c>
      <c r="AC13" s="25">
        <v>30000</v>
      </c>
    </row>
    <row r="16" spans="2:29" ht="12" thickBot="1" x14ac:dyDescent="0.25">
      <c r="B16" s="48" t="s">
        <v>14</v>
      </c>
      <c r="C16" s="23" t="s">
        <v>13</v>
      </c>
      <c r="D16" s="23">
        <v>0</v>
      </c>
      <c r="E16" s="23">
        <v>1</v>
      </c>
      <c r="F16" s="24">
        <v>2</v>
      </c>
      <c r="G16" s="24">
        <v>3</v>
      </c>
      <c r="H16" s="23">
        <v>4</v>
      </c>
      <c r="I16" s="24">
        <v>5</v>
      </c>
      <c r="J16" s="24">
        <v>6</v>
      </c>
      <c r="K16" s="23">
        <v>7</v>
      </c>
      <c r="L16" s="24">
        <v>8</v>
      </c>
      <c r="M16" s="24">
        <v>9</v>
      </c>
      <c r="N16" s="24">
        <v>10</v>
      </c>
      <c r="O16" s="24">
        <v>11</v>
      </c>
      <c r="P16" s="23">
        <v>12</v>
      </c>
      <c r="Q16" s="24">
        <v>13</v>
      </c>
      <c r="R16" s="24">
        <v>14</v>
      </c>
      <c r="S16" s="24">
        <v>15</v>
      </c>
      <c r="T16" s="24">
        <v>16</v>
      </c>
      <c r="U16" s="23">
        <v>17</v>
      </c>
      <c r="V16" s="24">
        <v>18</v>
      </c>
      <c r="W16" s="24">
        <v>19</v>
      </c>
      <c r="X16" s="24">
        <v>20</v>
      </c>
      <c r="Y16" s="24">
        <v>21</v>
      </c>
      <c r="Z16" s="23">
        <v>22</v>
      </c>
      <c r="AA16" s="24">
        <v>23</v>
      </c>
      <c r="AB16" s="23">
        <v>24</v>
      </c>
      <c r="AC16" s="24">
        <v>25</v>
      </c>
    </row>
    <row r="17" spans="2:29" ht="12" thickTop="1" x14ac:dyDescent="0.2">
      <c r="B17" s="49"/>
      <c r="C17" s="8" t="s">
        <v>0</v>
      </c>
      <c r="D17" s="8"/>
      <c r="E17" s="25"/>
      <c r="F17" s="25"/>
      <c r="G17" s="25"/>
      <c r="H17" s="25"/>
      <c r="J17" s="25"/>
      <c r="K17" s="25"/>
      <c r="L17" s="25"/>
      <c r="M17" s="25"/>
      <c r="N17" s="25"/>
      <c r="O17" s="25">
        <v>50000</v>
      </c>
      <c r="P17" s="25">
        <v>50000</v>
      </c>
      <c r="Q17" s="25">
        <v>50000</v>
      </c>
      <c r="R17" s="25">
        <v>50000</v>
      </c>
      <c r="S17" s="25">
        <v>50000</v>
      </c>
      <c r="T17" s="25">
        <v>50000</v>
      </c>
      <c r="U17" s="25">
        <v>50000</v>
      </c>
      <c r="V17" s="25">
        <v>50000</v>
      </c>
      <c r="W17" s="25">
        <v>50000</v>
      </c>
      <c r="X17" s="25">
        <v>50000</v>
      </c>
      <c r="Y17" s="25">
        <v>50000</v>
      </c>
      <c r="Z17" s="25">
        <v>50000</v>
      </c>
      <c r="AA17" s="25">
        <v>50000</v>
      </c>
      <c r="AB17" s="25">
        <v>50000</v>
      </c>
      <c r="AC17" s="25">
        <v>50000</v>
      </c>
    </row>
    <row r="20" spans="2:29" ht="12" thickBot="1" x14ac:dyDescent="0.25">
      <c r="B20" s="48" t="s">
        <v>15</v>
      </c>
      <c r="C20" s="23" t="s">
        <v>13</v>
      </c>
      <c r="D20" s="23">
        <v>0</v>
      </c>
      <c r="E20" s="23">
        <v>1</v>
      </c>
      <c r="F20" s="24">
        <v>2</v>
      </c>
      <c r="G20" s="24">
        <v>3</v>
      </c>
      <c r="H20" s="23">
        <v>4</v>
      </c>
      <c r="I20" s="24">
        <v>5</v>
      </c>
      <c r="J20" s="24">
        <v>6</v>
      </c>
      <c r="K20" s="24" t="s">
        <v>16</v>
      </c>
    </row>
    <row r="21" spans="2:29" ht="12" thickTop="1" x14ac:dyDescent="0.2">
      <c r="B21" s="49"/>
      <c r="C21" s="8" t="s">
        <v>0</v>
      </c>
      <c r="D21" s="8"/>
      <c r="E21" s="25">
        <v>20000</v>
      </c>
      <c r="F21" s="25">
        <f>E21*1.03</f>
        <v>20600</v>
      </c>
      <c r="G21" s="25">
        <f t="shared" ref="G21:J21" si="0">F21*1.03</f>
        <v>21218</v>
      </c>
      <c r="H21" s="25">
        <f t="shared" si="0"/>
        <v>21854.54</v>
      </c>
      <c r="I21" s="25">
        <f t="shared" si="0"/>
        <v>22510.176200000002</v>
      </c>
      <c r="J21" s="25">
        <f t="shared" si="0"/>
        <v>23185.481486000001</v>
      </c>
    </row>
  </sheetData>
  <mergeCells count="3">
    <mergeCell ref="B12:B13"/>
    <mergeCell ref="B16:B17"/>
    <mergeCell ref="B20:B21"/>
  </mergeCells>
  <printOptions gridLines="1"/>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BE3B-5DA5-4A56-8952-72E0823A2DA0}">
  <dimension ref="B1:R25"/>
  <sheetViews>
    <sheetView zoomScaleNormal="100" workbookViewId="0">
      <selection activeCell="P7" sqref="P7"/>
    </sheetView>
  </sheetViews>
  <sheetFormatPr defaultRowHeight="11.4" x14ac:dyDescent="0.2"/>
  <cols>
    <col min="1" max="1" width="2.25" style="26" customWidth="1"/>
    <col min="2" max="2" width="32.75" style="26" customWidth="1"/>
    <col min="3" max="3" width="21.5" style="26" bestFit="1" customWidth="1"/>
    <col min="4" max="4" width="22.875" style="26" customWidth="1"/>
    <col min="5" max="5" width="17.125" style="26" customWidth="1"/>
    <col min="6" max="6" width="20.25" style="26" bestFit="1" customWidth="1"/>
    <col min="7" max="7" width="9" style="26"/>
    <col min="8" max="8" width="12.625" style="26" customWidth="1"/>
    <col min="9" max="9" width="10.75" style="26" customWidth="1"/>
    <col min="10" max="10" width="10.625" style="26" customWidth="1"/>
    <col min="11" max="16384" width="9" style="26"/>
  </cols>
  <sheetData>
    <row r="1" spans="2:7" ht="15.6" x14ac:dyDescent="0.2">
      <c r="B1" s="20" t="s">
        <v>24</v>
      </c>
    </row>
    <row r="2" spans="2:7" ht="12" x14ac:dyDescent="0.25">
      <c r="B2" s="27"/>
    </row>
    <row r="3" spans="2:7" x14ac:dyDescent="0.2">
      <c r="F3" s="28"/>
      <c r="G3" s="28"/>
    </row>
    <row r="4" spans="2:7" ht="12" thickBot="1" x14ac:dyDescent="0.25">
      <c r="B4" s="17" t="s">
        <v>11</v>
      </c>
      <c r="C4" s="16"/>
      <c r="D4" s="14"/>
      <c r="E4" s="14"/>
      <c r="F4" s="15"/>
      <c r="G4" s="14"/>
    </row>
    <row r="5" spans="2:7" ht="12" thickTop="1" x14ac:dyDescent="0.2">
      <c r="F5" s="28"/>
      <c r="G5" s="28"/>
    </row>
    <row r="6" spans="2:7" x14ac:dyDescent="0.2">
      <c r="F6" s="28"/>
      <c r="G6" s="28"/>
    </row>
    <row r="7" spans="2:7" ht="23.4" thickBot="1" x14ac:dyDescent="0.25">
      <c r="B7" s="29" t="s">
        <v>22</v>
      </c>
      <c r="C7" s="30" t="s">
        <v>40</v>
      </c>
      <c r="D7" s="29" t="s">
        <v>23</v>
      </c>
      <c r="F7" s="28"/>
      <c r="G7" s="28"/>
    </row>
    <row r="8" spans="2:7" ht="12" thickTop="1" x14ac:dyDescent="0.2">
      <c r="B8" s="31">
        <v>1</v>
      </c>
      <c r="C8" s="32">
        <v>75</v>
      </c>
      <c r="D8" s="33">
        <v>0.2</v>
      </c>
      <c r="E8" s="34"/>
      <c r="F8" s="28"/>
      <c r="G8" s="28"/>
    </row>
    <row r="9" spans="2:7" x14ac:dyDescent="0.2">
      <c r="B9" s="31">
        <v>2</v>
      </c>
      <c r="C9" s="32">
        <v>105</v>
      </c>
      <c r="D9" s="33">
        <v>-0.05</v>
      </c>
      <c r="E9" s="34"/>
      <c r="F9" s="28"/>
      <c r="G9" s="28"/>
    </row>
    <row r="10" spans="2:7" x14ac:dyDescent="0.2">
      <c r="B10" s="31">
        <v>3</v>
      </c>
      <c r="C10" s="32">
        <v>55</v>
      </c>
      <c r="D10" s="33">
        <v>0.1</v>
      </c>
      <c r="E10" s="34"/>
      <c r="F10" s="28"/>
      <c r="G10" s="28"/>
    </row>
    <row r="11" spans="2:7" x14ac:dyDescent="0.2">
      <c r="B11" s="31">
        <v>4</v>
      </c>
      <c r="C11" s="32">
        <v>65</v>
      </c>
      <c r="D11" s="33">
        <v>0.2</v>
      </c>
      <c r="E11" s="34"/>
      <c r="F11" s="28"/>
      <c r="G11" s="28"/>
    </row>
    <row r="12" spans="2:7" x14ac:dyDescent="0.2">
      <c r="B12" s="31">
        <v>5</v>
      </c>
      <c r="C12" s="32">
        <v>85</v>
      </c>
      <c r="D12" s="33">
        <v>0.03</v>
      </c>
      <c r="E12" s="34"/>
      <c r="F12" s="28"/>
      <c r="G12" s="28"/>
    </row>
    <row r="13" spans="2:7" x14ac:dyDescent="0.2">
      <c r="F13" s="28"/>
      <c r="G13" s="28"/>
    </row>
    <row r="14" spans="2:7" x14ac:dyDescent="0.2">
      <c r="F14" s="28"/>
      <c r="G14" s="28"/>
    </row>
    <row r="15" spans="2:7" x14ac:dyDescent="0.2">
      <c r="F15" s="28"/>
      <c r="G15" s="28"/>
    </row>
    <row r="16" spans="2:7" x14ac:dyDescent="0.2">
      <c r="F16" s="28"/>
      <c r="G16" s="28"/>
    </row>
    <row r="17" spans="2:18" x14ac:dyDescent="0.2">
      <c r="F17" s="28"/>
      <c r="G17" s="28"/>
    </row>
    <row r="18" spans="2:18" x14ac:dyDescent="0.2">
      <c r="F18" s="28"/>
      <c r="G18" s="28"/>
    </row>
    <row r="19" spans="2:18" x14ac:dyDescent="0.2">
      <c r="F19" s="28"/>
      <c r="G19" s="28"/>
      <c r="P19" s="31"/>
      <c r="Q19" s="31"/>
      <c r="R19" s="31"/>
    </row>
    <row r="20" spans="2:18" x14ac:dyDescent="0.2">
      <c r="B20" s="31"/>
      <c r="C20" s="32"/>
      <c r="D20" s="32"/>
      <c r="E20" s="32"/>
      <c r="F20" s="32"/>
      <c r="G20" s="32"/>
      <c r="H20" s="32"/>
      <c r="K20" s="31"/>
      <c r="N20" s="31"/>
      <c r="O20" s="31"/>
      <c r="P20" s="31"/>
      <c r="Q20" s="31"/>
    </row>
    <row r="25" spans="2:18" x14ac:dyDescent="0.2">
      <c r="E25" s="33"/>
      <c r="F25" s="31"/>
      <c r="G25" s="31"/>
      <c r="H25" s="31"/>
      <c r="I25" s="31"/>
      <c r="J25" s="3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6C69-AD08-4DAE-86BF-FF353BB23FB2}">
  <dimension ref="B1:I24"/>
  <sheetViews>
    <sheetView workbookViewId="0"/>
  </sheetViews>
  <sheetFormatPr defaultRowHeight="11.4" x14ac:dyDescent="0.2"/>
  <cols>
    <col min="1" max="1" width="1.875" style="1" customWidth="1"/>
    <col min="2" max="2" width="23.5" style="1" customWidth="1"/>
    <col min="3" max="3" width="32.5" style="1" customWidth="1"/>
    <col min="4" max="4" width="14.125" style="1" bestFit="1" customWidth="1"/>
    <col min="5" max="5" width="13.5" style="1" bestFit="1" customWidth="1"/>
    <col min="6" max="9" width="12.375" style="1" bestFit="1" customWidth="1"/>
    <col min="10" max="10" width="8" style="1" bestFit="1" customWidth="1"/>
    <col min="11" max="11" width="13.25" style="1" customWidth="1"/>
    <col min="12" max="13" width="8" style="1" bestFit="1" customWidth="1"/>
    <col min="14" max="16384" width="9" style="1"/>
  </cols>
  <sheetData>
    <row r="1" spans="2:9" ht="13.2" customHeight="1" x14ac:dyDescent="0.2">
      <c r="B1" s="20" t="s">
        <v>28</v>
      </c>
      <c r="E1" s="2"/>
      <c r="F1" s="3"/>
      <c r="G1" s="2"/>
    </row>
    <row r="2" spans="2:9" ht="13.2" customHeight="1" x14ac:dyDescent="0.2">
      <c r="B2" s="20"/>
      <c r="E2" s="2"/>
      <c r="F2" s="3"/>
      <c r="G2" s="2"/>
    </row>
    <row r="3" spans="2:9" ht="13.2" customHeight="1" x14ac:dyDescent="0.2">
      <c r="B3" s="20" t="s">
        <v>2</v>
      </c>
      <c r="E3" s="2"/>
      <c r="F3" s="3"/>
      <c r="G3" s="2"/>
    </row>
    <row r="4" spans="2:9" ht="11.4" customHeight="1" x14ac:dyDescent="0.2">
      <c r="B4" s="50" t="s">
        <v>39</v>
      </c>
      <c r="C4" s="50"/>
      <c r="D4" s="50"/>
      <c r="E4" s="50"/>
      <c r="F4" s="50"/>
      <c r="G4" s="50"/>
      <c r="H4" s="50"/>
    </row>
    <row r="5" spans="2:9" x14ac:dyDescent="0.2">
      <c r="B5" s="50"/>
      <c r="C5" s="50"/>
      <c r="D5" s="50"/>
      <c r="E5" s="50"/>
      <c r="F5" s="50"/>
      <c r="G5" s="50"/>
      <c r="H5" s="50"/>
    </row>
    <row r="6" spans="2:9" x14ac:dyDescent="0.2">
      <c r="B6" s="50"/>
      <c r="C6" s="50"/>
      <c r="D6" s="50"/>
      <c r="E6" s="50"/>
      <c r="F6" s="50"/>
      <c r="G6" s="50"/>
      <c r="H6" s="50"/>
    </row>
    <row r="7" spans="2:9" x14ac:dyDescent="0.2">
      <c r="B7" s="50"/>
      <c r="C7" s="50"/>
      <c r="D7" s="50"/>
      <c r="E7" s="50"/>
      <c r="F7" s="50"/>
      <c r="G7" s="50"/>
      <c r="H7" s="50"/>
    </row>
    <row r="8" spans="2:9" x14ac:dyDescent="0.2">
      <c r="B8" s="50"/>
      <c r="C8" s="50"/>
      <c r="D8" s="50"/>
      <c r="E8" s="50"/>
      <c r="F8" s="50"/>
      <c r="G8" s="50"/>
      <c r="H8" s="50"/>
    </row>
    <row r="9" spans="2:9" x14ac:dyDescent="0.2">
      <c r="B9" s="50"/>
      <c r="C9" s="50"/>
      <c r="D9" s="50"/>
      <c r="E9" s="50"/>
      <c r="F9" s="50"/>
      <c r="G9" s="50"/>
      <c r="H9" s="50"/>
    </row>
    <row r="10" spans="2:9" x14ac:dyDescent="0.2">
      <c r="B10" s="50"/>
      <c r="C10" s="50"/>
      <c r="D10" s="50"/>
      <c r="E10" s="50"/>
      <c r="F10" s="50"/>
      <c r="G10" s="50"/>
      <c r="H10" s="50"/>
    </row>
    <row r="11" spans="2:9" x14ac:dyDescent="0.2">
      <c r="B11" s="21"/>
      <c r="C11" s="21"/>
      <c r="D11" s="21"/>
      <c r="E11" s="21"/>
      <c r="F11" s="21"/>
      <c r="G11" s="21"/>
    </row>
    <row r="12" spans="2:9" ht="12" thickBot="1" x14ac:dyDescent="0.25">
      <c r="B12" s="17" t="s">
        <v>11</v>
      </c>
      <c r="C12" s="16"/>
      <c r="D12" s="14"/>
      <c r="E12" s="14"/>
      <c r="F12" s="15"/>
      <c r="G12" s="14"/>
    </row>
    <row r="13" spans="2:9" ht="12" thickTop="1" x14ac:dyDescent="0.2">
      <c r="B13" s="21"/>
      <c r="C13" s="21"/>
      <c r="D13" s="21"/>
      <c r="E13" s="21"/>
      <c r="F13" s="21"/>
      <c r="G13" s="21"/>
    </row>
    <row r="14" spans="2:9" x14ac:dyDescent="0.2">
      <c r="B14" s="21"/>
      <c r="C14" s="21"/>
      <c r="D14" s="21"/>
      <c r="E14" s="21"/>
      <c r="F14" s="21"/>
      <c r="G14" s="21"/>
    </row>
    <row r="15" spans="2:9" ht="12" thickBot="1" x14ac:dyDescent="0.25">
      <c r="B15" s="48" t="s">
        <v>25</v>
      </c>
      <c r="C15" s="6" t="s">
        <v>1</v>
      </c>
      <c r="D15" s="7">
        <v>0</v>
      </c>
      <c r="E15" s="6">
        <v>1</v>
      </c>
      <c r="F15" s="7">
        <v>2</v>
      </c>
      <c r="G15" s="6">
        <v>3</v>
      </c>
      <c r="H15" s="7">
        <v>4</v>
      </c>
      <c r="I15" s="7">
        <v>5</v>
      </c>
    </row>
    <row r="16" spans="2:9" ht="12" thickTop="1" x14ac:dyDescent="0.2">
      <c r="B16" s="49"/>
      <c r="C16" s="5" t="s">
        <v>41</v>
      </c>
      <c r="D16" s="35">
        <v>-9</v>
      </c>
      <c r="E16" s="35">
        <v>4</v>
      </c>
      <c r="F16" s="35">
        <v>3</v>
      </c>
      <c r="G16" s="35">
        <v>3</v>
      </c>
      <c r="H16" s="35">
        <v>3</v>
      </c>
      <c r="I16" s="35">
        <v>1</v>
      </c>
    </row>
    <row r="17" spans="2:9" x14ac:dyDescent="0.2">
      <c r="B17" s="12"/>
      <c r="C17" s="5"/>
      <c r="D17" s="10"/>
      <c r="E17" s="10"/>
      <c r="F17" s="10"/>
      <c r="G17" s="10"/>
      <c r="H17" s="10"/>
      <c r="I17" s="10"/>
    </row>
    <row r="18" spans="2:9" x14ac:dyDescent="0.2">
      <c r="B18" s="12"/>
      <c r="C18" s="5"/>
      <c r="D18" s="10"/>
      <c r="E18" s="10"/>
      <c r="F18" s="10"/>
      <c r="G18" s="10"/>
      <c r="H18" s="10"/>
      <c r="I18" s="10"/>
    </row>
    <row r="19" spans="2:9" ht="12" thickBot="1" x14ac:dyDescent="0.25">
      <c r="B19" s="48" t="s">
        <v>26</v>
      </c>
      <c r="C19" s="6" t="s">
        <v>1</v>
      </c>
      <c r="D19" s="36">
        <v>0</v>
      </c>
      <c r="E19" s="37">
        <v>1</v>
      </c>
      <c r="F19" s="36">
        <v>2</v>
      </c>
      <c r="G19" s="37">
        <v>3</v>
      </c>
      <c r="H19" s="36">
        <v>4</v>
      </c>
      <c r="I19" s="37">
        <v>5</v>
      </c>
    </row>
    <row r="20" spans="2:9" ht="12" thickTop="1" x14ac:dyDescent="0.2">
      <c r="B20" s="49"/>
      <c r="C20" s="5" t="s">
        <v>41</v>
      </c>
      <c r="D20" s="35">
        <v>-7</v>
      </c>
      <c r="E20" s="35">
        <v>2</v>
      </c>
      <c r="F20" s="35">
        <v>3</v>
      </c>
      <c r="G20" s="35">
        <v>3</v>
      </c>
      <c r="H20" s="35">
        <v>2</v>
      </c>
      <c r="I20" s="35">
        <v>2</v>
      </c>
    </row>
    <row r="21" spans="2:9" x14ac:dyDescent="0.2">
      <c r="B21" s="12"/>
      <c r="C21" s="5"/>
      <c r="D21" s="10"/>
      <c r="E21" s="10"/>
      <c r="F21" s="10"/>
      <c r="G21" s="10"/>
      <c r="H21" s="10"/>
      <c r="I21" s="10"/>
    </row>
    <row r="22" spans="2:9" x14ac:dyDescent="0.2">
      <c r="B22" s="12"/>
      <c r="C22" s="5"/>
      <c r="D22" s="10"/>
      <c r="E22" s="10"/>
      <c r="F22" s="10"/>
      <c r="G22" s="10"/>
      <c r="H22" s="10"/>
      <c r="I22" s="10"/>
    </row>
    <row r="23" spans="2:9" ht="12" thickBot="1" x14ac:dyDescent="0.25">
      <c r="B23" s="48" t="s">
        <v>27</v>
      </c>
      <c r="C23" s="6" t="s">
        <v>1</v>
      </c>
      <c r="D23" s="36">
        <v>0</v>
      </c>
      <c r="E23" s="37">
        <v>1</v>
      </c>
      <c r="F23" s="36">
        <v>2</v>
      </c>
      <c r="G23" s="37">
        <v>3</v>
      </c>
      <c r="H23" s="36">
        <v>4</v>
      </c>
      <c r="I23" s="37">
        <v>5</v>
      </c>
    </row>
    <row r="24" spans="2:9" ht="12" thickTop="1" x14ac:dyDescent="0.2">
      <c r="B24" s="49"/>
      <c r="C24" s="5" t="s">
        <v>41</v>
      </c>
      <c r="D24" s="35">
        <v>-4.3</v>
      </c>
      <c r="E24" s="35">
        <v>10</v>
      </c>
      <c r="F24" s="35">
        <v>-6</v>
      </c>
      <c r="G24" s="35">
        <v>-2</v>
      </c>
      <c r="H24" s="35"/>
      <c r="I24" s="35"/>
    </row>
  </sheetData>
  <mergeCells count="4">
    <mergeCell ref="B4:H10"/>
    <mergeCell ref="B15:B16"/>
    <mergeCell ref="B19:B20"/>
    <mergeCell ref="B23:B24"/>
  </mergeCells>
  <printOptions gridLines="1"/>
  <pageMargins left="0.75" right="0.75" top="1" bottom="1" header="0.5" footer="0.5"/>
  <pageSetup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7D84-4209-4896-999D-5C8F595FDB5D}">
  <dimension ref="B1:L16"/>
  <sheetViews>
    <sheetView workbookViewId="0"/>
  </sheetViews>
  <sheetFormatPr defaultRowHeight="11.4" x14ac:dyDescent="0.2"/>
  <cols>
    <col min="1" max="1" width="1.875" style="1" customWidth="1"/>
    <col min="2" max="2" width="28.375" style="1" customWidth="1"/>
    <col min="3" max="3" width="13.125" style="1" customWidth="1"/>
    <col min="4" max="4" width="11.375" style="1" bestFit="1" customWidth="1"/>
    <col min="5" max="5" width="28.5" style="1" customWidth="1"/>
    <col min="6" max="7" width="11.375" style="1" bestFit="1" customWidth="1"/>
    <col min="8" max="8" width="29.875" style="1" customWidth="1"/>
    <col min="9" max="9" width="16.5" style="1" customWidth="1"/>
    <col min="10" max="16384" width="9" style="1"/>
  </cols>
  <sheetData>
    <row r="1" spans="2:12" ht="13.2" customHeight="1" x14ac:dyDescent="0.2">
      <c r="B1" s="20" t="s">
        <v>38</v>
      </c>
      <c r="E1" s="2"/>
      <c r="F1" s="3"/>
      <c r="G1" s="2"/>
    </row>
    <row r="2" spans="2:12" ht="12.75" customHeight="1" x14ac:dyDescent="0.2"/>
    <row r="3" spans="2:12" ht="12" thickBot="1" x14ac:dyDescent="0.25">
      <c r="B3" s="17" t="s">
        <v>11</v>
      </c>
      <c r="C3" s="16"/>
      <c r="D3" s="14"/>
      <c r="E3" s="14"/>
      <c r="F3" s="15"/>
      <c r="G3" s="14"/>
      <c r="H3" s="14"/>
      <c r="I3" s="14"/>
      <c r="J3" s="14"/>
      <c r="K3" s="14"/>
      <c r="L3" s="14"/>
    </row>
    <row r="4" spans="2:12" ht="12" thickTop="1" x14ac:dyDescent="0.2">
      <c r="B4" s="38"/>
      <c r="C4" s="39"/>
      <c r="F4" s="40"/>
    </row>
    <row r="5" spans="2:12" ht="12" thickBot="1" x14ac:dyDescent="0.25">
      <c r="B5" s="51" t="s">
        <v>29</v>
      </c>
      <c r="C5" s="51"/>
      <c r="E5" s="51" t="s">
        <v>30</v>
      </c>
      <c r="F5" s="51"/>
      <c r="H5" s="51" t="s">
        <v>31</v>
      </c>
      <c r="I5" s="51"/>
    </row>
    <row r="6" spans="2:12" ht="12" thickTop="1" x14ac:dyDescent="0.2">
      <c r="B6" s="38" t="s">
        <v>32</v>
      </c>
      <c r="C6" s="41">
        <v>1000</v>
      </c>
      <c r="E6" s="38" t="s">
        <v>32</v>
      </c>
      <c r="F6" s="41">
        <v>1000</v>
      </c>
      <c r="H6" s="38" t="s">
        <v>32</v>
      </c>
      <c r="I6" s="41">
        <v>1000</v>
      </c>
    </row>
    <row r="7" spans="2:12" x14ac:dyDescent="0.2">
      <c r="B7" s="1" t="s">
        <v>33</v>
      </c>
      <c r="C7" s="42">
        <v>0.06</v>
      </c>
      <c r="E7" s="1" t="s">
        <v>33</v>
      </c>
      <c r="F7" s="42">
        <v>0.04</v>
      </c>
      <c r="H7" s="1" t="s">
        <v>33</v>
      </c>
      <c r="I7" s="42">
        <v>0.08</v>
      </c>
    </row>
    <row r="8" spans="2:12" x14ac:dyDescent="0.2">
      <c r="B8" s="1" t="s">
        <v>34</v>
      </c>
      <c r="C8" s="43">
        <v>7.0000000000000007E-2</v>
      </c>
      <c r="E8" s="1" t="s">
        <v>34</v>
      </c>
      <c r="F8" s="43">
        <v>7.0000000000000007E-2</v>
      </c>
      <c r="H8" s="1" t="s">
        <v>34</v>
      </c>
      <c r="I8" s="43">
        <v>7.0000000000000007E-2</v>
      </c>
    </row>
    <row r="9" spans="2:12" x14ac:dyDescent="0.2">
      <c r="B9" s="1" t="s">
        <v>35</v>
      </c>
      <c r="C9" s="44">
        <f>(C7*C6)/C11</f>
        <v>60</v>
      </c>
      <c r="E9" s="1" t="s">
        <v>35</v>
      </c>
      <c r="F9" s="44">
        <f>(F7*F6)/F11</f>
        <v>20</v>
      </c>
      <c r="H9" s="1" t="s">
        <v>35</v>
      </c>
      <c r="I9" s="44">
        <f>(I7*I6)/I11</f>
        <v>20</v>
      </c>
    </row>
    <row r="10" spans="2:12" x14ac:dyDescent="0.2">
      <c r="B10" s="1" t="s">
        <v>36</v>
      </c>
      <c r="C10" s="45">
        <v>4</v>
      </c>
      <c r="E10" s="1" t="s">
        <v>36</v>
      </c>
      <c r="F10" s="45">
        <v>3</v>
      </c>
      <c r="H10" s="1" t="s">
        <v>36</v>
      </c>
      <c r="I10" s="45">
        <v>2</v>
      </c>
    </row>
    <row r="11" spans="2:12" x14ac:dyDescent="0.2">
      <c r="B11" s="1" t="s">
        <v>8</v>
      </c>
      <c r="C11" s="45">
        <v>1</v>
      </c>
      <c r="E11" s="1" t="s">
        <v>8</v>
      </c>
      <c r="F11" s="45">
        <v>2</v>
      </c>
      <c r="H11" s="1" t="s">
        <v>8</v>
      </c>
      <c r="I11" s="45">
        <v>4</v>
      </c>
    </row>
    <row r="16" spans="2:12" x14ac:dyDescent="0.2">
      <c r="C16" s="9"/>
    </row>
  </sheetData>
  <mergeCells count="3">
    <mergeCell ref="B5:C5"/>
    <mergeCell ref="E5:F5"/>
    <mergeCell ref="H5:I5"/>
  </mergeCells>
  <dataValidations count="1">
    <dataValidation type="list" allowBlank="1" showInputMessage="1" showErrorMessage="1" sqref="C11 F11 I11" xr:uid="{3A781063-966A-4A88-9E84-3C4FB99059FF}">
      <formula1>"12,4,2,1"</formula1>
    </dataValidation>
  </dataValidations>
  <printOptions gridLines="1"/>
  <pageMargins left="0.75" right="0.75" top="1" bottom="1" header="0.5" footer="0.5"/>
  <pageSetup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4FAD-3A87-4AF0-921B-D436C152A4C1}">
  <dimension ref="B1:N9"/>
  <sheetViews>
    <sheetView workbookViewId="0"/>
  </sheetViews>
  <sheetFormatPr defaultColWidth="9" defaultRowHeight="11.4" x14ac:dyDescent="0.2"/>
  <cols>
    <col min="1" max="1" width="1.875" style="1" customWidth="1"/>
    <col min="2" max="2" width="28.375" style="1" customWidth="1"/>
    <col min="3" max="3" width="13.125" style="1" customWidth="1"/>
    <col min="4" max="5" width="11.375" style="1" bestFit="1" customWidth="1"/>
    <col min="6" max="16384" width="9" style="1"/>
  </cols>
  <sheetData>
    <row r="1" spans="2:14" ht="13.2" customHeight="1" x14ac:dyDescent="0.2">
      <c r="B1" s="19" t="s">
        <v>37</v>
      </c>
      <c r="E1" s="3"/>
    </row>
    <row r="2" spans="2:14" ht="12.75" customHeight="1" x14ac:dyDescent="0.2"/>
    <row r="3" spans="2:14" ht="12.75" customHeight="1" x14ac:dyDescent="0.2"/>
    <row r="4" spans="2:14" ht="12.75" customHeight="1" thickBot="1" x14ac:dyDescent="0.25">
      <c r="B4" s="17" t="s">
        <v>11</v>
      </c>
      <c r="C4" s="16"/>
      <c r="D4" s="14"/>
      <c r="E4" s="14"/>
      <c r="F4" s="15"/>
      <c r="G4" s="14"/>
      <c r="H4" s="14"/>
      <c r="I4" s="14"/>
      <c r="J4" s="14"/>
      <c r="K4" s="14"/>
      <c r="L4" s="14"/>
    </row>
    <row r="5" spans="2:14" ht="12.6" thickTop="1" thickBot="1" x14ac:dyDescent="0.25"/>
    <row r="6" spans="2:14" ht="34.799999999999997" thickBot="1" x14ac:dyDescent="0.25">
      <c r="B6" s="18" t="s">
        <v>5</v>
      </c>
      <c r="C6" s="18" t="s">
        <v>6</v>
      </c>
      <c r="D6" s="18" t="s">
        <v>7</v>
      </c>
      <c r="E6" s="18" t="s">
        <v>10</v>
      </c>
      <c r="F6" s="8"/>
      <c r="N6" s="8"/>
    </row>
    <row r="7" spans="2:14" x14ac:dyDescent="0.2">
      <c r="B7" s="8" t="s">
        <v>3</v>
      </c>
      <c r="C7" s="46">
        <v>960</v>
      </c>
      <c r="D7" s="46">
        <v>1000</v>
      </c>
      <c r="E7" s="8">
        <v>90</v>
      </c>
      <c r="F7" s="8"/>
      <c r="N7" s="13"/>
    </row>
    <row r="8" spans="2:14" x14ac:dyDescent="0.2">
      <c r="B8" s="8" t="s">
        <v>4</v>
      </c>
      <c r="C8" s="46">
        <v>950</v>
      </c>
      <c r="D8" s="46">
        <v>1000</v>
      </c>
      <c r="E8" s="8">
        <v>140</v>
      </c>
      <c r="F8" s="8"/>
      <c r="N8" s="13"/>
    </row>
    <row r="9" spans="2:14" x14ac:dyDescent="0.2">
      <c r="B9" s="8" t="s">
        <v>9</v>
      </c>
      <c r="C9" s="46">
        <v>940</v>
      </c>
      <c r="D9" s="46">
        <v>1000</v>
      </c>
      <c r="E9" s="8">
        <v>120</v>
      </c>
      <c r="F9" s="8"/>
      <c r="N9" s="13"/>
    </row>
  </sheetData>
  <printOptions gridLines="1"/>
  <pageMargins left="0.75" right="0.75" top="1" bottom="1" header="0.5" footer="0.5"/>
  <pageSetup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Case 1</vt:lpstr>
      <vt:lpstr>Case 2</vt:lpstr>
      <vt:lpstr>Case 3</vt:lpstr>
      <vt:lpstr>Case 4</vt:lpstr>
      <vt:lpstr>Case 5</vt:lpstr>
    </vt:vector>
  </TitlesOfParts>
  <Company>365 Financial Analyst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Financial Analyst</dc:creator>
  <cp:lastModifiedBy>Ivan Kitov</cp:lastModifiedBy>
  <dcterms:created xsi:type="dcterms:W3CDTF">2017-08-22T21:42:52Z</dcterms:created>
  <dcterms:modified xsi:type="dcterms:W3CDTF">2023-08-09T13:55:43Z</dcterms:modified>
</cp:coreProperties>
</file>