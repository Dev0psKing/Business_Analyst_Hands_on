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LMS_Projects/[STAGING] CP - Math for Finance - Applied Financial Math for Decision-Making/Data/"/>
    </mc:Choice>
  </mc:AlternateContent>
  <xr:revisionPtr revIDLastSave="33" documentId="11_AD4DF75460589B3ACB7284C4E7DC5D2E5BDEDD8A" xr6:coauthVersionLast="47" xr6:coauthVersionMax="47" xr10:uidLastSave="{91A5C5A1-AD3D-4E7D-A0F4-A88D64C838C2}"/>
  <bookViews>
    <workbookView xWindow="-28920" yWindow="1140" windowWidth="29040" windowHeight="15720" xr2:uid="{00000000-000D-0000-FFFF-FFFF00000000}"/>
  </bookViews>
  <sheets>
    <sheet name="Case 2" sheetId="2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G27" i="2"/>
  <c r="G28" i="2" s="1"/>
  <c r="G29" i="2" s="1"/>
  <c r="H24" i="2" s="1"/>
  <c r="F27" i="2"/>
  <c r="E27" i="2"/>
  <c r="D27" i="2"/>
  <c r="H26" i="2"/>
  <c r="G26" i="2"/>
  <c r="F26" i="2"/>
  <c r="E26" i="2"/>
  <c r="D26" i="2"/>
  <c r="D28" i="2" s="1"/>
  <c r="D29" i="2" s="1"/>
  <c r="E24" i="2" s="1"/>
  <c r="E25" i="2" s="1"/>
  <c r="D31" i="2" s="1"/>
  <c r="D25" i="2"/>
  <c r="C31" i="2" s="1"/>
  <c r="E28" i="2" l="1"/>
  <c r="E29" i="2" s="1"/>
  <c r="F24" i="2" s="1"/>
  <c r="F25" i="2"/>
  <c r="E31" i="2" s="1"/>
  <c r="H25" i="2"/>
  <c r="G31" i="2" s="1"/>
  <c r="H28" i="2"/>
  <c r="H29" i="2" s="1"/>
  <c r="H31" i="2" s="1"/>
  <c r="C33" i="2" a="1"/>
  <c r="C33" i="2" s="1"/>
  <c r="C34" i="2" s="1"/>
  <c r="C32" i="2"/>
  <c r="F28" i="2"/>
  <c r="F29" i="2" s="1"/>
  <c r="G24" i="2" s="1"/>
  <c r="G25" i="2" s="1"/>
  <c r="F3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<sst xmlns="http://schemas.openxmlformats.org/spreadsheetml/2006/main" count="16" uniqueCount="16">
  <si>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Case 2</t>
  </si>
  <si>
    <t>Input Data</t>
  </si>
  <si>
    <t>Year</t>
  </si>
  <si>
    <t>Net returns</t>
  </si>
  <si>
    <t>Output</t>
  </si>
  <si>
    <t>Balance from previous year</t>
  </si>
  <si>
    <t>Withdrawals / (New Investment)</t>
  </si>
  <si>
    <t>Net Balance at beginning of year</t>
  </si>
  <si>
    <t>Return (%)</t>
  </si>
  <si>
    <t>Investment gain (loss)</t>
  </si>
  <si>
    <t>Balance (at the end of the year)</t>
  </si>
  <si>
    <t>Cash Flows</t>
  </si>
  <si>
    <t>Money-weighted Rate of Return</t>
  </si>
  <si>
    <t>Time-weighed Rate of Return</t>
  </si>
  <si>
    <t>Difference</t>
  </si>
  <si>
    <t>Assets Under Management (AUM,mn)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</si>
</sst>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73B0"/>
      <name val="Arial"/>
      <family val="2"/>
    </font>
    <font>
      <sz val="9"/>
      <color theme="1"/>
      <name val="Arial"/>
      <family val="2"/>
    </font>
    <font>
      <b/>
      <sz val="9"/>
      <color rgb="FF00206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double">
        <color rgb="FF0073B0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5" fillId="0" borderId="0"/>
    <xf numFmtId="44" fontId="5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1" applyFont="1" applyFill="1" applyAlignment="1">
      <alignment horizontal="left" vertical="center"/>
    </xf>
    <xf numFmtId="0" fontId="3" fillId="2" borderId="0" xfId="2" applyFont="1" applyFill="1"/>
    <xf numFmtId="0" fontId="4" fillId="2" borderId="0" xfId="2" applyFont="1" applyFill="1"/>
    <xf numFmtId="0" fontId="3" fillId="2" borderId="0" xfId="2" applyFont="1" applyFill="1" applyAlignment="1">
      <alignment horizontal="center"/>
    </xf>
    <xf numFmtId="49" fontId="6" fillId="2" borderId="1" xfId="3" applyNumberFormat="1" applyFont="1" applyFill="1" applyBorder="1" applyAlignment="1">
      <alignment wrapText="1"/>
    </xf>
    <xf numFmtId="49" fontId="6" fillId="2" borderId="1" xfId="3" applyNumberFormat="1" applyFont="1" applyFill="1" applyBorder="1" applyAlignment="1">
      <alignment horizontal="center" wrapText="1"/>
    </xf>
    <xf numFmtId="0" fontId="7" fillId="2" borderId="1" xfId="3" applyFont="1" applyFill="1" applyBorder="1"/>
    <xf numFmtId="7" fontId="7" fillId="2" borderId="1" xfId="3" applyNumberFormat="1" applyFont="1" applyFill="1" applyBorder="1"/>
    <xf numFmtId="0" fontId="3" fillId="2" borderId="2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 vertical="center"/>
    </xf>
    <xf numFmtId="8" fontId="3" fillId="2" borderId="0" xfId="2" applyNumberFormat="1" applyFont="1" applyFill="1" applyAlignment="1">
      <alignment horizontal="center" vertical="center"/>
    </xf>
    <xf numFmtId="9" fontId="3" fillId="2" borderId="0" xfId="2" applyNumberFormat="1" applyFont="1" applyFill="1" applyAlignment="1">
      <alignment horizontal="center" vertical="center"/>
    </xf>
    <xf numFmtId="8" fontId="3" fillId="2" borderId="0" xfId="2" applyNumberFormat="1" applyFont="1" applyFill="1"/>
    <xf numFmtId="37" fontId="7" fillId="2" borderId="1" xfId="4" applyNumberFormat="1" applyFont="1" applyFill="1" applyBorder="1" applyAlignment="1">
      <alignment horizontal="center"/>
    </xf>
    <xf numFmtId="0" fontId="7" fillId="2" borderId="1" xfId="3" applyFont="1" applyFill="1" applyBorder="1" applyAlignment="1">
      <alignment horizontal="center"/>
    </xf>
    <xf numFmtId="0" fontId="3" fillId="2" borderId="0" xfId="2" applyFont="1" applyFill="1" applyAlignment="1">
      <alignment horizontal="left" vertical="top"/>
    </xf>
    <xf numFmtId="10" fontId="8" fillId="2" borderId="0" xfId="2" applyNumberFormat="1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0" fontId="3" fillId="2" borderId="0" xfId="2" applyNumberFormat="1" applyFont="1" applyFill="1" applyAlignment="1">
      <alignment horizontal="center" vertical="center"/>
    </xf>
    <xf numFmtId="164" fontId="3" fillId="2" borderId="0" xfId="2" applyNumberFormat="1" applyFont="1" applyFill="1" applyAlignment="1">
      <alignment horizontal="center" vertical="center"/>
    </xf>
  </cellXfs>
  <cellStyles count="5">
    <cellStyle name="Currency 2" xfId="4" xr:uid="{ED42A2E3-859C-4789-9860-8EFB420B6675}"/>
    <cellStyle name="Normal" xfId="0" builtinId="0"/>
    <cellStyle name="Normal 2" xfId="3" xr:uid="{F699B59F-7ED8-4B76-96F1-7FF54BFE8A77}"/>
    <cellStyle name="Normal 2 2 2 2 4" xfId="1" xr:uid="{4AE10297-047D-43BA-9D8F-E9134B0181AF}"/>
    <cellStyle name="Normal 3 3" xfId="2" xr:uid="{2B33AD83-F70D-4B87-AE74-234C6C25D2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CE25-4171-422A-BA5A-33D58A248D97}">
  <dimension ref="B1:R41"/>
  <sheetViews>
    <sheetView tabSelected="1" zoomScaleNormal="100" workbookViewId="0"/>
  </sheetViews>
  <sheetFormatPr defaultColWidth="8.85546875" defaultRowHeight="12" x14ac:dyDescent="0.2"/>
  <cols>
    <col min="1" max="1" width="2" style="2" customWidth="1"/>
    <col min="2" max="2" width="29.140625" style="2" customWidth="1"/>
    <col min="3" max="3" width="19.140625" style="2" bestFit="1" customWidth="1"/>
    <col min="4" max="4" width="20.28515625" style="2" customWidth="1"/>
    <col min="5" max="5" width="15.28515625" style="2" customWidth="1"/>
    <col min="6" max="6" width="18" style="2" customWidth="1"/>
    <col min="7" max="7" width="8.85546875" style="2" customWidth="1"/>
    <col min="8" max="8" width="11.28515625" style="2" customWidth="1"/>
    <col min="9" max="9" width="9.5703125" style="2" customWidth="1"/>
    <col min="10" max="10" width="9.42578125" style="2" customWidth="1"/>
    <col min="11" max="16384" width="8.85546875" style="2"/>
  </cols>
  <sheetData>
    <row r="1" spans="2:7" ht="15.75" x14ac:dyDescent="0.2">
      <c r="B1" s="1" t="s">
        <v>0</v>
      </c>
    </row>
    <row r="2" spans="2:7" x14ac:dyDescent="0.2">
      <c r="B2" s="3"/>
    </row>
    <row r="3" spans="2:7" x14ac:dyDescent="0.2">
      <c r="F3" s="4"/>
      <c r="G3" s="4"/>
    </row>
    <row r="4" spans="2:7" ht="12.75" thickBot="1" x14ac:dyDescent="0.25">
      <c r="B4" s="5" t="s">
        <v>1</v>
      </c>
      <c r="C4" s="6"/>
      <c r="D4" s="7"/>
      <c r="E4" s="7"/>
      <c r="F4" s="8"/>
      <c r="G4" s="7"/>
    </row>
    <row r="5" spans="2:7" ht="12.75" thickTop="1" x14ac:dyDescent="0.2">
      <c r="F5" s="4"/>
      <c r="G5" s="4"/>
    </row>
    <row r="6" spans="2:7" x14ac:dyDescent="0.2">
      <c r="F6" s="4"/>
      <c r="G6" s="4"/>
    </row>
    <row r="7" spans="2:7" ht="36.75" thickBot="1" x14ac:dyDescent="0.25">
      <c r="B7" s="9" t="s">
        <v>2</v>
      </c>
      <c r="C7" s="10" t="s">
        <v>15</v>
      </c>
      <c r="D7" s="9" t="s">
        <v>3</v>
      </c>
      <c r="F7" s="4"/>
      <c r="G7" s="4"/>
    </row>
    <row r="8" spans="2:7" ht="12.75" thickTop="1" x14ac:dyDescent="0.2">
      <c r="B8" s="11">
        <v>1</v>
      </c>
      <c r="C8" s="12">
        <v>75</v>
      </c>
      <c r="D8" s="13">
        <v>0.2</v>
      </c>
      <c r="E8" s="14"/>
      <c r="F8" s="4"/>
      <c r="G8" s="4"/>
    </row>
    <row r="9" spans="2:7" x14ac:dyDescent="0.2">
      <c r="B9" s="11">
        <v>2</v>
      </c>
      <c r="C9" s="12">
        <v>105</v>
      </c>
      <c r="D9" s="13">
        <v>-0.05</v>
      </c>
      <c r="E9" s="14"/>
      <c r="F9" s="4"/>
      <c r="G9" s="4"/>
    </row>
    <row r="10" spans="2:7" x14ac:dyDescent="0.2">
      <c r="B10" s="11">
        <v>3</v>
      </c>
      <c r="C10" s="12">
        <v>55</v>
      </c>
      <c r="D10" s="13">
        <v>0.1</v>
      </c>
      <c r="E10" s="14"/>
      <c r="F10" s="4"/>
      <c r="G10" s="4"/>
    </row>
    <row r="11" spans="2:7" x14ac:dyDescent="0.2">
      <c r="B11" s="11">
        <v>4</v>
      </c>
      <c r="C11" s="12">
        <v>65</v>
      </c>
      <c r="D11" s="13">
        <v>0.2</v>
      </c>
      <c r="E11" s="14"/>
      <c r="F11" s="4"/>
      <c r="G11" s="4"/>
    </row>
    <row r="12" spans="2:7" x14ac:dyDescent="0.2">
      <c r="B12" s="11">
        <v>5</v>
      </c>
      <c r="C12" s="12">
        <v>85</v>
      </c>
      <c r="D12" s="13">
        <v>0.03</v>
      </c>
      <c r="E12" s="14"/>
      <c r="F12" s="4"/>
      <c r="G12" s="4"/>
    </row>
    <row r="13" spans="2:7" x14ac:dyDescent="0.2">
      <c r="F13" s="4"/>
      <c r="G13" s="4"/>
    </row>
    <row r="14" spans="2:7" x14ac:dyDescent="0.2">
      <c r="F14" s="4"/>
      <c r="G14" s="4"/>
    </row>
    <row r="15" spans="2:7" x14ac:dyDescent="0.2">
      <c r="F15" s="4"/>
      <c r="G15" s="4"/>
    </row>
    <row r="16" spans="2:7" x14ac:dyDescent="0.2">
      <c r="F16" s="4"/>
      <c r="G16" s="4"/>
    </row>
    <row r="17" spans="2:18" x14ac:dyDescent="0.2">
      <c r="F17" s="4"/>
      <c r="G17" s="4"/>
    </row>
    <row r="18" spans="2:18" x14ac:dyDescent="0.2">
      <c r="F18" s="4"/>
      <c r="G18" s="4"/>
    </row>
    <row r="19" spans="2:18" x14ac:dyDescent="0.2">
      <c r="F19" s="4"/>
      <c r="G19" s="4"/>
      <c r="P19" s="11"/>
      <c r="Q19" s="11"/>
      <c r="R19" s="11"/>
    </row>
    <row r="20" spans="2:18" ht="12.75" thickBot="1" x14ac:dyDescent="0.25">
      <c r="B20" s="5" t="s">
        <v>4</v>
      </c>
      <c r="C20" s="6"/>
      <c r="D20" s="7"/>
      <c r="E20" s="7"/>
      <c r="F20" s="8"/>
      <c r="G20" s="7"/>
      <c r="P20" s="11"/>
      <c r="Q20" s="11"/>
      <c r="R20" s="11"/>
    </row>
    <row r="21" spans="2:18" ht="12.75" thickTop="1" x14ac:dyDescent="0.2">
      <c r="F21" s="4"/>
      <c r="G21" s="4"/>
      <c r="P21" s="11"/>
      <c r="Q21" s="11"/>
      <c r="R21" s="11"/>
    </row>
    <row r="22" spans="2:18" x14ac:dyDescent="0.2">
      <c r="F22" s="4"/>
      <c r="G22" s="4"/>
      <c r="P22" s="11"/>
      <c r="Q22" s="11"/>
      <c r="R22" s="11"/>
    </row>
    <row r="23" spans="2:18" ht="12.75" thickBot="1" x14ac:dyDescent="0.25">
      <c r="B23" s="11"/>
      <c r="C23" s="15">
        <v>0</v>
      </c>
      <c r="D23" s="15">
        <v>1</v>
      </c>
      <c r="E23" s="16">
        <v>2</v>
      </c>
      <c r="F23" s="15">
        <v>3</v>
      </c>
      <c r="G23" s="15">
        <v>4</v>
      </c>
      <c r="H23" s="16">
        <v>5</v>
      </c>
      <c r="I23" s="11"/>
      <c r="J23" s="11"/>
      <c r="K23" s="11"/>
      <c r="P23" s="11"/>
      <c r="Q23" s="11"/>
      <c r="R23" s="11"/>
    </row>
    <row r="24" spans="2:18" ht="12.75" thickTop="1" x14ac:dyDescent="0.2">
      <c r="B24" s="17" t="s">
        <v>5</v>
      </c>
      <c r="D24" s="12">
        <v>0</v>
      </c>
      <c r="E24" s="12">
        <f>D29</f>
        <v>90</v>
      </c>
      <c r="F24" s="12">
        <f t="shared" ref="F24:H24" si="0">E29</f>
        <v>99.75</v>
      </c>
      <c r="G24" s="12">
        <f t="shared" si="0"/>
        <v>60.5</v>
      </c>
      <c r="H24" s="12">
        <f t="shared" si="0"/>
        <v>78</v>
      </c>
      <c r="P24" s="11"/>
      <c r="Q24" s="11"/>
      <c r="R24" s="11"/>
    </row>
    <row r="25" spans="2:18" x14ac:dyDescent="0.2">
      <c r="B25" s="17" t="s">
        <v>6</v>
      </c>
      <c r="D25" s="12">
        <f>-C8</f>
        <v>-75</v>
      </c>
      <c r="E25" s="12">
        <f>E24-E26</f>
        <v>-15</v>
      </c>
      <c r="F25" s="12">
        <f t="shared" ref="F25:H25" si="1">F24-F26</f>
        <v>44.75</v>
      </c>
      <c r="G25" s="12">
        <f t="shared" si="1"/>
        <v>-4.5</v>
      </c>
      <c r="H25" s="12">
        <f t="shared" si="1"/>
        <v>-7</v>
      </c>
      <c r="P25" s="11"/>
      <c r="Q25" s="11"/>
      <c r="R25" s="11"/>
    </row>
    <row r="26" spans="2:18" x14ac:dyDescent="0.2">
      <c r="B26" s="17" t="s">
        <v>7</v>
      </c>
      <c r="D26" s="12">
        <f>C8</f>
        <v>75</v>
      </c>
      <c r="E26" s="12">
        <f>C9</f>
        <v>105</v>
      </c>
      <c r="F26" s="12">
        <f>C10</f>
        <v>55</v>
      </c>
      <c r="G26" s="12">
        <f>C11</f>
        <v>65</v>
      </c>
      <c r="H26" s="12">
        <f>C12</f>
        <v>85</v>
      </c>
    </row>
    <row r="27" spans="2:18" x14ac:dyDescent="0.2">
      <c r="B27" s="17" t="s">
        <v>8</v>
      </c>
      <c r="D27" s="13">
        <f>D8</f>
        <v>0.2</v>
      </c>
      <c r="E27" s="13">
        <f>D9</f>
        <v>-0.05</v>
      </c>
      <c r="F27" s="13">
        <f>D10</f>
        <v>0.1</v>
      </c>
      <c r="G27" s="13">
        <f>D11</f>
        <v>0.2</v>
      </c>
      <c r="H27" s="13">
        <f>D12</f>
        <v>0.03</v>
      </c>
    </row>
    <row r="28" spans="2:18" x14ac:dyDescent="0.2">
      <c r="B28" s="17" t="s">
        <v>9</v>
      </c>
      <c r="D28" s="12">
        <f>D27*D26</f>
        <v>15</v>
      </c>
      <c r="E28" s="12">
        <f t="shared" ref="E28:H28" si="2">E27*E26</f>
        <v>-5.25</v>
      </c>
      <c r="F28" s="12">
        <f t="shared" si="2"/>
        <v>5.5</v>
      </c>
      <c r="G28" s="12">
        <f t="shared" si="2"/>
        <v>13</v>
      </c>
      <c r="H28" s="12">
        <f t="shared" si="2"/>
        <v>2.5499999999999998</v>
      </c>
    </row>
    <row r="29" spans="2:18" x14ac:dyDescent="0.2">
      <c r="B29" s="17" t="s">
        <v>10</v>
      </c>
      <c r="D29" s="12">
        <f>D26+D28</f>
        <v>90</v>
      </c>
      <c r="E29" s="12">
        <f t="shared" ref="E29:H29" si="3">E26+E28</f>
        <v>99.75</v>
      </c>
      <c r="F29" s="12">
        <f t="shared" si="3"/>
        <v>60.5</v>
      </c>
      <c r="G29" s="12">
        <f t="shared" si="3"/>
        <v>78</v>
      </c>
      <c r="H29" s="12">
        <f t="shared" si="3"/>
        <v>87.55</v>
      </c>
    </row>
    <row r="30" spans="2:18" x14ac:dyDescent="0.2">
      <c r="B30" s="11"/>
      <c r="C30" s="11"/>
      <c r="D30" s="11"/>
      <c r="E30" s="11"/>
      <c r="F30" s="11"/>
      <c r="G30" s="11"/>
      <c r="H30" s="11"/>
    </row>
    <row r="31" spans="2:18" x14ac:dyDescent="0.2">
      <c r="B31" s="11" t="s">
        <v>11</v>
      </c>
      <c r="C31" s="12">
        <f>D25</f>
        <v>-75</v>
      </c>
      <c r="D31" s="12">
        <f>E25</f>
        <v>-15</v>
      </c>
      <c r="E31" s="12">
        <f>F25</f>
        <v>44.75</v>
      </c>
      <c r="F31" s="12">
        <f>G25</f>
        <v>-4.5</v>
      </c>
      <c r="G31" s="12">
        <f>H25</f>
        <v>-7</v>
      </c>
      <c r="H31" s="12">
        <f>H29</f>
        <v>87.55</v>
      </c>
    </row>
    <row r="32" spans="2:18" x14ac:dyDescent="0.2">
      <c r="B32" s="11" t="s">
        <v>12</v>
      </c>
      <c r="C32" s="18">
        <f>IRR(C31:H31)</f>
        <v>8.1133004805212128E-2</v>
      </c>
      <c r="D32" s="19"/>
      <c r="E32" s="19"/>
      <c r="F32" s="19"/>
      <c r="G32" s="19"/>
      <c r="H32" s="11"/>
      <c r="I32" s="11"/>
      <c r="J32" s="11"/>
      <c r="K32" s="11"/>
    </row>
    <row r="33" spans="2:17" x14ac:dyDescent="0.2">
      <c r="B33" s="11" t="s">
        <v>13</v>
      </c>
      <c r="C33" s="20" cm="1">
        <f t="array" ref="C33">GEOMEAN(D27:H27+1)-1</f>
        <v>9.1599181733889479E-2</v>
      </c>
      <c r="D33" s="11"/>
      <c r="E33" s="11"/>
      <c r="F33" s="21"/>
      <c r="G33" s="11"/>
      <c r="H33" s="11"/>
      <c r="K33" s="11"/>
    </row>
    <row r="34" spans="2:17" x14ac:dyDescent="0.2">
      <c r="B34" s="11" t="s">
        <v>14</v>
      </c>
      <c r="C34" s="20">
        <f>C33-C32</f>
        <v>1.0466176928677351E-2</v>
      </c>
      <c r="D34" s="11"/>
      <c r="E34" s="11"/>
      <c r="F34" s="11"/>
      <c r="G34" s="11"/>
      <c r="H34" s="11"/>
      <c r="K34" s="11"/>
    </row>
    <row r="35" spans="2:17" x14ac:dyDescent="0.2">
      <c r="B35" s="11"/>
      <c r="C35" s="19"/>
      <c r="D35" s="19"/>
      <c r="E35" s="19"/>
      <c r="F35" s="19"/>
      <c r="G35" s="19"/>
      <c r="H35" s="19"/>
      <c r="K35" s="11"/>
      <c r="M35" s="11"/>
      <c r="N35" s="11"/>
      <c r="O35" s="11"/>
      <c r="P35" s="11"/>
      <c r="Q35" s="11"/>
    </row>
    <row r="36" spans="2:17" x14ac:dyDescent="0.2">
      <c r="B36" s="11"/>
      <c r="C36" s="12"/>
      <c r="D36" s="12"/>
      <c r="E36" s="12"/>
      <c r="F36" s="12"/>
      <c r="G36" s="12"/>
      <c r="H36" s="12"/>
      <c r="K36" s="11"/>
      <c r="N36" s="11"/>
      <c r="O36" s="11"/>
      <c r="P36" s="11"/>
      <c r="Q36" s="11"/>
    </row>
    <row r="41" spans="2:17" x14ac:dyDescent="0.2">
      <c r="E41" s="13"/>
      <c r="F41" s="11"/>
      <c r="G41" s="11"/>
      <c r="H41" s="11"/>
      <c r="I41" s="11"/>
      <c r="J4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Kitov</dc:creator>
  <cp:lastModifiedBy>Ivan Kitov</cp:lastModifiedBy>
  <dcterms:created xsi:type="dcterms:W3CDTF">2015-06-05T18:19:34Z</dcterms:created>
  <dcterms:modified xsi:type="dcterms:W3CDTF">2025-04-17T10:43:10Z</dcterms:modified>
</cp:coreProperties>
</file>