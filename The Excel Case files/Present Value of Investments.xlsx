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_Projects/Math for Finance/Database/Solved/"/>
    </mc:Choice>
  </mc:AlternateContent>
  <xr:revisionPtr revIDLastSave="1005" documentId="8_{02856691-EA73-4F78-B0B5-531EAD61197A}" xr6:coauthVersionLast="47" xr6:coauthVersionMax="47" xr10:uidLastSave="{C3348EDF-71D7-427F-A17F-E0FF95C9F2B5}"/>
  <bookViews>
    <workbookView xWindow="-28920" yWindow="-3765" windowWidth="29040" windowHeight="15720" xr2:uid="{00000000-000D-0000-FFFF-FFFF00000000}"/>
  </bookViews>
  <sheets>
    <sheet name="Case 1" sheetId="17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7" l="1"/>
  <c r="D29" i="17"/>
  <c r="D37" i="17"/>
  <c r="F36" i="17" l="1"/>
  <c r="G36" i="17" s="1"/>
  <c r="H36" i="17" s="1"/>
  <c r="I36" i="17" s="1"/>
  <c r="J36" i="17" s="1"/>
  <c r="N33" i="17"/>
  <c r="F21" i="17"/>
  <c r="G21" i="17" s="1"/>
  <c r="H21" i="17" s="1"/>
  <c r="I21" i="17" s="1"/>
  <c r="J21" i="17" s="1"/>
</calcChain>
</file>

<file path=xl/sharedStrings.xml><?xml version="1.0" encoding="utf-8"?>
<sst xmlns="http://schemas.openxmlformats.org/spreadsheetml/2006/main" count="32" uniqueCount="14">
  <si>
    <t>Cash Flows</t>
  </si>
  <si>
    <t>Output</t>
  </si>
  <si>
    <t>Investment A</t>
  </si>
  <si>
    <t>Period</t>
  </si>
  <si>
    <t>Investment B</t>
  </si>
  <si>
    <t>Discounted Cash Flow</t>
  </si>
  <si>
    <t>Cash Flow Stream 1</t>
  </si>
  <si>
    <t>Investment C</t>
  </si>
  <si>
    <t>∞</t>
  </si>
  <si>
    <t>Case 1</t>
  </si>
  <si>
    <t>An ordinary annuity that guarantees a fixed payment of $30,000 annually for the next 25 years.</t>
  </si>
  <si>
    <t xml:space="preserve">A delayed annuity that promises to pay $50,000 annually, but payments will only start from the end of the 11th year and continue for 15 years. </t>
  </si>
  <si>
    <t>Cash Flow</t>
  </si>
  <si>
    <t>A growing perpetuity that guarantees an initial payment of $15,000 at the end of the first year, with subsequent annual payments increasing by 2%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</si>
</sst>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10" fillId="2" borderId="0" xfId="4" applyFont="1" applyFill="1"/>
    <xf numFmtId="0" fontId="11" fillId="2" borderId="0" xfId="4" applyFont="1" applyFill="1" applyAlignment="1">
      <alignment horizontal="left" vertical="center"/>
    </xf>
    <xf numFmtId="0" fontId="11" fillId="2" borderId="0" xfId="4" applyFont="1" applyFill="1" applyAlignment="1">
      <alignment horizontal="left" vertical="center" wrapText="1"/>
    </xf>
    <xf numFmtId="0" fontId="11" fillId="2" borderId="0" xfId="4" applyFont="1" applyFill="1" applyAlignment="1">
      <alignment horizontal="center" vertical="center"/>
    </xf>
    <xf numFmtId="0" fontId="10" fillId="2" borderId="0" xfId="4" applyFont="1" applyFill="1" applyAlignment="1">
      <alignment horizontal="center" vertical="center"/>
    </xf>
    <xf numFmtId="8" fontId="10" fillId="2" borderId="0" xfId="4" applyNumberFormat="1" applyFont="1" applyFill="1"/>
    <xf numFmtId="0" fontId="10" fillId="2" borderId="0" xfId="4" applyFont="1" applyFill="1" applyAlignment="1">
      <alignment horizontal="left" vertical="top" wrapText="1"/>
    </xf>
    <xf numFmtId="0" fontId="10" fillId="2" borderId="1" xfId="4" applyFont="1" applyFill="1" applyBorder="1"/>
    <xf numFmtId="7" fontId="10" fillId="2" borderId="1" xfId="4" applyNumberFormat="1" applyFont="1" applyFill="1" applyBorder="1"/>
    <xf numFmtId="49" fontId="12" fillId="2" borderId="1" xfId="4" applyNumberFormat="1" applyFont="1" applyFill="1" applyBorder="1" applyAlignment="1">
      <alignment horizontal="center" wrapText="1"/>
    </xf>
    <xf numFmtId="49" fontId="12" fillId="2" borderId="1" xfId="4" applyNumberFormat="1" applyFont="1" applyFill="1" applyBorder="1" applyAlignment="1">
      <alignment wrapText="1"/>
    </xf>
    <xf numFmtId="0" fontId="9" fillId="2" borderId="0" xfId="18" applyFont="1" applyFill="1" applyAlignment="1">
      <alignment horizontal="left" vertical="center"/>
    </xf>
    <xf numFmtId="0" fontId="10" fillId="2" borderId="0" xfId="4" applyFont="1" applyFill="1" applyAlignment="1">
      <alignment vertical="top" wrapText="1"/>
    </xf>
    <xf numFmtId="0" fontId="10" fillId="2" borderId="0" xfId="4" applyFont="1" applyFill="1" applyAlignment="1">
      <alignment vertical="top"/>
    </xf>
    <xf numFmtId="0" fontId="10" fillId="2" borderId="1" xfId="4" applyFont="1" applyFill="1" applyBorder="1" applyAlignment="1">
      <alignment horizontal="center" vertical="center"/>
    </xf>
    <xf numFmtId="37" fontId="10" fillId="2" borderId="1" xfId="5" applyNumberFormat="1" applyFont="1" applyFill="1" applyBorder="1" applyAlignment="1">
      <alignment horizontal="center" vertical="center"/>
    </xf>
    <xf numFmtId="5" fontId="10" fillId="2" borderId="0" xfId="4" applyNumberFormat="1" applyFont="1" applyFill="1" applyAlignment="1">
      <alignment horizontal="center" vertical="center"/>
    </xf>
    <xf numFmtId="8" fontId="10" fillId="2" borderId="4" xfId="4" applyNumberFormat="1" applyFont="1" applyFill="1" applyBorder="1"/>
    <xf numFmtId="0" fontId="11" fillId="2" borderId="5" xfId="4" applyFont="1" applyFill="1" applyBorder="1" applyAlignment="1">
      <alignment vertical="top" wrapText="1"/>
    </xf>
    <xf numFmtId="0" fontId="10" fillId="2" borderId="2" xfId="4" applyFont="1" applyFill="1" applyBorder="1" applyAlignment="1">
      <alignment horizontal="center" vertical="center"/>
    </xf>
    <xf numFmtId="0" fontId="10" fillId="2" borderId="3" xfId="4" applyFont="1" applyFill="1" applyBorder="1" applyAlignment="1">
      <alignment horizontal="center" vertical="center"/>
    </xf>
  </cellXfs>
  <cellStyles count="21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15" xr:uid="{8F93F0F7-EEA4-4ECE-9B80-66F6D9762C31}"/>
    <cellStyle name="Normal 10 2" xfId="17" xr:uid="{183AA267-8D0A-4834-920D-1A8EF86B770A}"/>
    <cellStyle name="Normal 10 3" xfId="20" xr:uid="{4DDAB78A-C02D-4140-8F30-78E72884111C}"/>
    <cellStyle name="Normal 2" xfId="4" xr:uid="{C8B3C472-5BD2-4D8A-84EF-2D0D0EC7CCA8}"/>
    <cellStyle name="Normal 2 2 2" xfId="2" xr:uid="{EB4610B0-F08F-4ACB-854F-11FB6CF4D53B}"/>
    <cellStyle name="Normal 2 2 2 2" xfId="8" xr:uid="{3439CB0A-F305-4184-9ACB-94FF40DA43BC}"/>
    <cellStyle name="Normal 2 2 2 2 2" xfId="11" xr:uid="{B7BCCE6D-BA3C-4A82-BABB-E2CE744676D0}"/>
    <cellStyle name="Normal 2 2 2 2 2 2" xfId="16" xr:uid="{8ADFEB70-2D39-49CD-BD89-5AF98691F1BC}"/>
    <cellStyle name="Normal 2 2 2 2 3" xfId="13" xr:uid="{8167E187-D4FD-446A-BE32-3D1C2FCECE0E}"/>
    <cellStyle name="Normal 2 2 2 2 4" xfId="18" xr:uid="{5AE52B1F-57E6-4068-A758-764C40D46921}"/>
    <cellStyle name="Normal 2 2 2 3" xfId="10" xr:uid="{5C49D074-8EA3-4F9D-99F9-ABAD13D9D6E7}"/>
    <cellStyle name="Normal 2 2 2 4" xfId="12" xr:uid="{58D00735-0DE1-4D97-B509-BE706872B223}"/>
    <cellStyle name="Normal 3" xfId="9" xr:uid="{6C8CE0DF-571D-48B3-844B-DA560D4E8E32}"/>
    <cellStyle name="Normal 3 2" xfId="14" xr:uid="{C76409FC-A0CA-4B9D-A853-D5CBA1E3286C}"/>
    <cellStyle name="Normal 3 3" xfId="19" xr:uid="{A805B62E-8BE3-4ECF-9A82-74131D8A088F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E4C4-A5C9-4002-9B57-C8C6127FD8AD}">
  <dimension ref="B1:AC37"/>
  <sheetViews>
    <sheetView tabSelected="1" topLeftCell="A4" workbookViewId="0">
      <selection activeCell="D37" sqref="D37"/>
    </sheetView>
  </sheetViews>
  <sheetFormatPr defaultRowHeight="11.4" x14ac:dyDescent="0.2"/>
  <cols>
    <col min="1" max="1" width="1.875" style="1" customWidth="1"/>
    <col min="2" max="2" width="18.875" style="1" customWidth="1"/>
    <col min="3" max="3" width="23.25" style="1" customWidth="1"/>
    <col min="4" max="4" width="20.25" style="1" customWidth="1"/>
    <col min="5" max="5" width="12.625" style="1" customWidth="1"/>
    <col min="6" max="7" width="11.875" style="1" customWidth="1"/>
    <col min="8" max="8" width="14.75" style="1" customWidth="1"/>
    <col min="9" max="9" width="8.75" style="1" bestFit="1" customWidth="1"/>
    <col min="10" max="10" width="12.5" style="1" bestFit="1" customWidth="1"/>
    <col min="11" max="13" width="8.75" style="1" bestFit="1" customWidth="1"/>
    <col min="14" max="14" width="13.75" style="1" customWidth="1"/>
    <col min="15" max="15" width="12.5" style="1" bestFit="1" customWidth="1"/>
    <col min="16" max="16384" width="9" style="1"/>
  </cols>
  <sheetData>
    <row r="1" spans="2:29" ht="13.2" customHeight="1" x14ac:dyDescent="0.2">
      <c r="B1" s="12" t="s">
        <v>9</v>
      </c>
      <c r="E1" s="2"/>
      <c r="F1" s="3"/>
      <c r="G1" s="2"/>
      <c r="L1" s="4"/>
      <c r="M1" s="2"/>
    </row>
    <row r="2" spans="2:29" ht="13.2" customHeight="1" x14ac:dyDescent="0.2">
      <c r="B2" s="12"/>
      <c r="E2" s="2"/>
      <c r="F2" s="3"/>
      <c r="G2" s="2"/>
      <c r="L2" s="4"/>
      <c r="M2" s="2"/>
    </row>
    <row r="3" spans="2:29" ht="11.4" customHeight="1" x14ac:dyDescent="0.2">
      <c r="B3" s="19" t="s">
        <v>2</v>
      </c>
      <c r="C3" s="19" t="s">
        <v>4</v>
      </c>
      <c r="D3" s="19" t="s">
        <v>7</v>
      </c>
      <c r="E3" s="13"/>
      <c r="F3" s="13"/>
      <c r="G3" s="13"/>
    </row>
    <row r="4" spans="2:29" ht="99.6" customHeight="1" x14ac:dyDescent="0.2">
      <c r="B4" s="13" t="s">
        <v>10</v>
      </c>
      <c r="C4" s="13" t="s">
        <v>11</v>
      </c>
      <c r="D4" s="13" t="s">
        <v>13</v>
      </c>
      <c r="E4" s="13"/>
      <c r="F4" s="13"/>
      <c r="G4" s="13"/>
    </row>
    <row r="5" spans="2:29" x14ac:dyDescent="0.2">
      <c r="B5" s="13"/>
      <c r="C5" s="13"/>
      <c r="D5" s="13"/>
      <c r="E5" s="13"/>
      <c r="F5" s="13"/>
      <c r="G5" s="13"/>
    </row>
    <row r="6" spans="2:29" x14ac:dyDescent="0.2">
      <c r="B6" s="7"/>
      <c r="C6" s="7"/>
      <c r="D6" s="7"/>
      <c r="E6" s="7"/>
      <c r="F6" s="7"/>
      <c r="G6" s="13"/>
    </row>
    <row r="7" spans="2:29" x14ac:dyDescent="0.2">
      <c r="B7" s="13"/>
      <c r="C7" s="13"/>
      <c r="D7" s="13"/>
      <c r="E7" s="13"/>
      <c r="F7" s="13"/>
      <c r="G7" s="13"/>
    </row>
    <row r="8" spans="2:29" ht="12" thickBot="1" x14ac:dyDescent="0.25">
      <c r="B8" s="11" t="s">
        <v>12</v>
      </c>
      <c r="C8" s="10"/>
      <c r="D8" s="8"/>
      <c r="E8" s="8"/>
      <c r="F8" s="9"/>
      <c r="G8" s="8"/>
    </row>
    <row r="9" spans="2:29" ht="12" thickTop="1" x14ac:dyDescent="0.2">
      <c r="B9" s="13"/>
      <c r="C9" s="13"/>
      <c r="D9" s="13"/>
      <c r="E9" s="13"/>
      <c r="F9" s="13"/>
      <c r="G9" s="13"/>
    </row>
    <row r="10" spans="2:29" x14ac:dyDescent="0.2">
      <c r="B10" s="14"/>
      <c r="C10" s="14"/>
      <c r="D10" s="14"/>
      <c r="E10" s="14"/>
    </row>
    <row r="12" spans="2:29" ht="12" thickBot="1" x14ac:dyDescent="0.25">
      <c r="B12" s="20" t="s">
        <v>2</v>
      </c>
      <c r="C12" s="15" t="s">
        <v>3</v>
      </c>
      <c r="D12" s="15">
        <v>0</v>
      </c>
      <c r="E12" s="15">
        <v>1</v>
      </c>
      <c r="F12" s="16">
        <v>2</v>
      </c>
      <c r="G12" s="16">
        <v>3</v>
      </c>
      <c r="H12" s="15">
        <v>4</v>
      </c>
      <c r="I12" s="16">
        <v>5</v>
      </c>
      <c r="J12" s="16">
        <v>6</v>
      </c>
      <c r="K12" s="15">
        <v>7</v>
      </c>
      <c r="L12" s="16">
        <v>8</v>
      </c>
      <c r="M12" s="16">
        <v>9</v>
      </c>
      <c r="N12" s="15">
        <v>10</v>
      </c>
      <c r="O12" s="16">
        <v>11</v>
      </c>
      <c r="P12" s="15">
        <v>12</v>
      </c>
      <c r="Q12" s="16">
        <v>13</v>
      </c>
      <c r="R12" s="15">
        <v>14</v>
      </c>
      <c r="S12" s="16">
        <v>15</v>
      </c>
      <c r="T12" s="15">
        <v>16</v>
      </c>
      <c r="U12" s="16">
        <v>17</v>
      </c>
      <c r="V12" s="15">
        <v>18</v>
      </c>
      <c r="W12" s="16">
        <v>19</v>
      </c>
      <c r="X12" s="15">
        <v>20</v>
      </c>
      <c r="Y12" s="16">
        <v>21</v>
      </c>
      <c r="Z12" s="15">
        <v>22</v>
      </c>
      <c r="AA12" s="16">
        <v>23</v>
      </c>
      <c r="AB12" s="15">
        <v>24</v>
      </c>
      <c r="AC12" s="16">
        <v>25</v>
      </c>
    </row>
    <row r="13" spans="2:29" ht="12" thickTop="1" x14ac:dyDescent="0.2">
      <c r="B13" s="21"/>
      <c r="C13" s="5" t="s">
        <v>0</v>
      </c>
      <c r="D13" s="5"/>
      <c r="E13" s="17">
        <v>30000</v>
      </c>
      <c r="F13" s="17">
        <v>30000</v>
      </c>
      <c r="G13" s="17">
        <v>30000</v>
      </c>
      <c r="H13" s="17">
        <v>30000</v>
      </c>
      <c r="I13" s="17">
        <v>30000</v>
      </c>
      <c r="J13" s="17">
        <v>30000</v>
      </c>
      <c r="K13" s="17">
        <v>30000</v>
      </c>
      <c r="L13" s="17">
        <v>30000</v>
      </c>
      <c r="M13" s="17">
        <v>30000</v>
      </c>
      <c r="N13" s="17">
        <v>30000</v>
      </c>
      <c r="O13" s="17">
        <v>30000</v>
      </c>
      <c r="P13" s="17">
        <v>30000</v>
      </c>
      <c r="Q13" s="17">
        <v>30000</v>
      </c>
      <c r="R13" s="17">
        <v>30000</v>
      </c>
      <c r="S13" s="17">
        <v>30000</v>
      </c>
      <c r="T13" s="17">
        <v>30000</v>
      </c>
      <c r="U13" s="17">
        <v>30000</v>
      </c>
      <c r="V13" s="17">
        <v>30000</v>
      </c>
      <c r="W13" s="17">
        <v>30000</v>
      </c>
      <c r="X13" s="17">
        <v>30000</v>
      </c>
      <c r="Y13" s="17">
        <v>30000</v>
      </c>
      <c r="Z13" s="17">
        <v>30000</v>
      </c>
      <c r="AA13" s="17">
        <v>30000</v>
      </c>
      <c r="AB13" s="17">
        <v>30000</v>
      </c>
      <c r="AC13" s="17">
        <v>30000</v>
      </c>
    </row>
    <row r="16" spans="2:29" ht="12" thickBot="1" x14ac:dyDescent="0.25">
      <c r="B16" s="20" t="s">
        <v>4</v>
      </c>
      <c r="C16" s="15" t="s">
        <v>3</v>
      </c>
      <c r="D16" s="15">
        <v>0</v>
      </c>
      <c r="E16" s="15">
        <v>1</v>
      </c>
      <c r="F16" s="16">
        <v>2</v>
      </c>
      <c r="G16" s="16">
        <v>3</v>
      </c>
      <c r="H16" s="15">
        <v>4</v>
      </c>
      <c r="I16" s="16">
        <v>5</v>
      </c>
      <c r="J16" s="16">
        <v>6</v>
      </c>
      <c r="K16" s="15">
        <v>7</v>
      </c>
      <c r="L16" s="16">
        <v>8</v>
      </c>
      <c r="M16" s="16">
        <v>9</v>
      </c>
      <c r="N16" s="16">
        <v>10</v>
      </c>
      <c r="O16" s="16">
        <v>11</v>
      </c>
      <c r="P16" s="15">
        <v>12</v>
      </c>
      <c r="Q16" s="16">
        <v>13</v>
      </c>
      <c r="R16" s="16">
        <v>14</v>
      </c>
      <c r="S16" s="16">
        <v>15</v>
      </c>
      <c r="T16" s="16">
        <v>16</v>
      </c>
      <c r="U16" s="15">
        <v>17</v>
      </c>
      <c r="V16" s="16">
        <v>18</v>
      </c>
      <c r="W16" s="16">
        <v>19</v>
      </c>
      <c r="X16" s="16">
        <v>20</v>
      </c>
      <c r="Y16" s="16">
        <v>21</v>
      </c>
      <c r="Z16" s="15">
        <v>22</v>
      </c>
      <c r="AA16" s="16">
        <v>23</v>
      </c>
      <c r="AB16" s="15">
        <v>24</v>
      </c>
      <c r="AC16" s="16">
        <v>25</v>
      </c>
    </row>
    <row r="17" spans="2:29" ht="12" thickTop="1" x14ac:dyDescent="0.2">
      <c r="B17" s="21"/>
      <c r="C17" s="5" t="s">
        <v>0</v>
      </c>
      <c r="D17" s="5"/>
      <c r="E17" s="17"/>
      <c r="F17" s="17"/>
      <c r="G17" s="17"/>
      <c r="H17" s="17"/>
      <c r="J17" s="17"/>
      <c r="K17" s="17"/>
      <c r="L17" s="17"/>
      <c r="M17" s="17"/>
      <c r="N17" s="17"/>
      <c r="O17" s="17">
        <v>50000</v>
      </c>
      <c r="P17" s="17">
        <v>50000</v>
      </c>
      <c r="Q17" s="17">
        <v>50000</v>
      </c>
      <c r="R17" s="17">
        <v>50000</v>
      </c>
      <c r="S17" s="17">
        <v>50000</v>
      </c>
      <c r="T17" s="17">
        <v>50000</v>
      </c>
      <c r="U17" s="17">
        <v>50000</v>
      </c>
      <c r="V17" s="17">
        <v>50000</v>
      </c>
      <c r="W17" s="17">
        <v>50000</v>
      </c>
      <c r="X17" s="17">
        <v>50000</v>
      </c>
      <c r="Y17" s="17">
        <v>50000</v>
      </c>
      <c r="Z17" s="17">
        <v>50000</v>
      </c>
      <c r="AA17" s="17">
        <v>50000</v>
      </c>
      <c r="AB17" s="17">
        <v>50000</v>
      </c>
      <c r="AC17" s="17">
        <v>50000</v>
      </c>
    </row>
    <row r="20" spans="2:29" ht="12" thickBot="1" x14ac:dyDescent="0.25">
      <c r="B20" s="20" t="s">
        <v>7</v>
      </c>
      <c r="C20" s="15" t="s">
        <v>3</v>
      </c>
      <c r="D20" s="15">
        <v>0</v>
      </c>
      <c r="E20" s="15">
        <v>1</v>
      </c>
      <c r="F20" s="16">
        <v>2</v>
      </c>
      <c r="G20" s="16">
        <v>3</v>
      </c>
      <c r="H20" s="15">
        <v>4</v>
      </c>
      <c r="I20" s="16">
        <v>5</v>
      </c>
      <c r="J20" s="16">
        <v>6</v>
      </c>
      <c r="K20" s="16" t="s">
        <v>8</v>
      </c>
    </row>
    <row r="21" spans="2:29" ht="12" thickTop="1" x14ac:dyDescent="0.2">
      <c r="B21" s="21"/>
      <c r="C21" s="5" t="s">
        <v>0</v>
      </c>
      <c r="D21" s="5"/>
      <c r="E21" s="17">
        <v>20000</v>
      </c>
      <c r="F21" s="17">
        <f>E21*1.03</f>
        <v>20600</v>
      </c>
      <c r="G21" s="17">
        <f t="shared" ref="G21:J21" si="0">F21*1.03</f>
        <v>21218</v>
      </c>
      <c r="H21" s="17">
        <f t="shared" si="0"/>
        <v>21854.54</v>
      </c>
      <c r="I21" s="17">
        <f t="shared" si="0"/>
        <v>22510.176200000002</v>
      </c>
      <c r="J21" s="17">
        <f t="shared" si="0"/>
        <v>23185.481486000001</v>
      </c>
    </row>
    <row r="24" spans="2:29" ht="12" thickBot="1" x14ac:dyDescent="0.25">
      <c r="B24" s="11" t="s">
        <v>1</v>
      </c>
      <c r="C24" s="10"/>
      <c r="D24" s="8"/>
      <c r="E24" s="8"/>
      <c r="F24" s="9"/>
      <c r="G24" s="8"/>
    </row>
    <row r="25" spans="2:29" ht="12" thickTop="1" x14ac:dyDescent="0.2"/>
    <row r="27" spans="2:29" ht="12" thickBot="1" x14ac:dyDescent="0.25">
      <c r="B27" s="20" t="s">
        <v>2</v>
      </c>
      <c r="C27" s="15" t="s">
        <v>3</v>
      </c>
      <c r="D27" s="15">
        <v>0</v>
      </c>
      <c r="E27" s="15">
        <v>1</v>
      </c>
      <c r="F27" s="16">
        <v>2</v>
      </c>
      <c r="G27" s="16">
        <v>3</v>
      </c>
      <c r="H27" s="15">
        <v>4</v>
      </c>
      <c r="I27" s="16">
        <v>5</v>
      </c>
      <c r="J27" s="16">
        <v>6</v>
      </c>
      <c r="K27" s="15">
        <v>7</v>
      </c>
      <c r="L27" s="16">
        <v>8</v>
      </c>
      <c r="M27" s="16">
        <v>9</v>
      </c>
      <c r="N27" s="15">
        <v>10</v>
      </c>
      <c r="O27" s="16">
        <v>11</v>
      </c>
      <c r="P27" s="16">
        <v>12</v>
      </c>
      <c r="Q27" s="15">
        <v>13</v>
      </c>
      <c r="R27" s="16">
        <v>14</v>
      </c>
      <c r="S27" s="16">
        <v>15</v>
      </c>
      <c r="T27" s="15">
        <v>16</v>
      </c>
      <c r="U27" s="16">
        <v>17</v>
      </c>
      <c r="V27" s="16">
        <v>18</v>
      </c>
      <c r="W27" s="15">
        <v>19</v>
      </c>
      <c r="X27" s="16">
        <v>20</v>
      </c>
      <c r="Y27" s="16">
        <v>21</v>
      </c>
      <c r="Z27" s="15">
        <v>22</v>
      </c>
      <c r="AA27" s="16">
        <v>23</v>
      </c>
      <c r="AB27" s="16">
        <v>24</v>
      </c>
      <c r="AC27" s="15">
        <v>25</v>
      </c>
    </row>
    <row r="28" spans="2:29" ht="12" thickTop="1" x14ac:dyDescent="0.2">
      <c r="B28" s="21"/>
      <c r="C28" s="5" t="s">
        <v>0</v>
      </c>
      <c r="D28" s="5"/>
      <c r="E28" s="17">
        <v>30000</v>
      </c>
      <c r="F28" s="17">
        <v>30000</v>
      </c>
      <c r="G28" s="17">
        <v>30000</v>
      </c>
      <c r="H28" s="17">
        <v>30000</v>
      </c>
      <c r="I28" s="17">
        <v>30000</v>
      </c>
      <c r="J28" s="17">
        <v>30000</v>
      </c>
      <c r="K28" s="17">
        <v>30000</v>
      </c>
      <c r="L28" s="17">
        <v>30000</v>
      </c>
      <c r="M28" s="17">
        <v>30000</v>
      </c>
      <c r="N28" s="17">
        <v>30000</v>
      </c>
      <c r="O28" s="17">
        <v>30000</v>
      </c>
      <c r="P28" s="17">
        <v>30000</v>
      </c>
      <c r="Q28" s="17">
        <v>30000</v>
      </c>
      <c r="R28" s="17">
        <v>30000</v>
      </c>
      <c r="S28" s="17">
        <v>30000</v>
      </c>
      <c r="T28" s="17">
        <v>30000</v>
      </c>
      <c r="U28" s="17">
        <v>30000</v>
      </c>
      <c r="V28" s="17">
        <v>30000</v>
      </c>
      <c r="W28" s="17">
        <v>30000</v>
      </c>
      <c r="X28" s="17">
        <v>30000</v>
      </c>
      <c r="Y28" s="17">
        <v>30000</v>
      </c>
      <c r="Z28" s="17">
        <v>30000</v>
      </c>
      <c r="AA28" s="17">
        <v>30000</v>
      </c>
      <c r="AB28" s="17">
        <v>30000</v>
      </c>
      <c r="AC28" s="17">
        <v>30000</v>
      </c>
    </row>
    <row r="29" spans="2:29" x14ac:dyDescent="0.2">
      <c r="C29" s="5" t="s">
        <v>5</v>
      </c>
      <c r="D29" s="18">
        <f>PV(0.06,25,-E28,0)</f>
        <v>383500.68474805239</v>
      </c>
      <c r="H29" s="6"/>
    </row>
    <row r="31" spans="2:29" ht="12" thickBot="1" x14ac:dyDescent="0.25">
      <c r="B31" s="20" t="s">
        <v>4</v>
      </c>
      <c r="C31" s="15" t="s">
        <v>3</v>
      </c>
      <c r="D31" s="15">
        <v>0</v>
      </c>
      <c r="E31" s="15">
        <v>1</v>
      </c>
      <c r="F31" s="16">
        <v>2</v>
      </c>
      <c r="G31" s="16">
        <v>3</v>
      </c>
      <c r="H31" s="15">
        <v>4</v>
      </c>
      <c r="I31" s="16">
        <v>5</v>
      </c>
      <c r="J31" s="16">
        <v>6</v>
      </c>
      <c r="K31" s="15">
        <v>7</v>
      </c>
      <c r="L31" s="16">
        <v>8</v>
      </c>
      <c r="M31" s="16">
        <v>9</v>
      </c>
      <c r="N31" s="16">
        <v>10</v>
      </c>
      <c r="O31" s="16">
        <v>11</v>
      </c>
      <c r="P31" s="16">
        <v>12</v>
      </c>
      <c r="Q31" s="16">
        <v>13</v>
      </c>
      <c r="R31" s="16">
        <v>14</v>
      </c>
      <c r="S31" s="16">
        <v>15</v>
      </c>
      <c r="T31" s="16">
        <v>16</v>
      </c>
      <c r="U31" s="16">
        <v>17</v>
      </c>
      <c r="V31" s="16">
        <v>18</v>
      </c>
      <c r="W31" s="16">
        <v>19</v>
      </c>
      <c r="X31" s="16">
        <v>20</v>
      </c>
      <c r="Y31" s="16">
        <v>21</v>
      </c>
      <c r="Z31" s="16">
        <v>22</v>
      </c>
      <c r="AA31" s="16">
        <v>23</v>
      </c>
      <c r="AB31" s="16">
        <v>24</v>
      </c>
      <c r="AC31" s="16">
        <v>25</v>
      </c>
    </row>
    <row r="32" spans="2:29" ht="12" thickTop="1" x14ac:dyDescent="0.2">
      <c r="B32" s="21"/>
      <c r="C32" s="5" t="s">
        <v>6</v>
      </c>
      <c r="D32" s="5"/>
      <c r="E32" s="17"/>
      <c r="F32" s="17"/>
      <c r="G32" s="17"/>
      <c r="H32" s="17"/>
      <c r="I32" s="17"/>
      <c r="J32" s="17"/>
      <c r="K32" s="17"/>
      <c r="L32" s="17"/>
      <c r="M32" s="17"/>
      <c r="O32" s="17">
        <v>50000</v>
      </c>
      <c r="P32" s="17">
        <v>50000</v>
      </c>
      <c r="Q32" s="17">
        <v>50000</v>
      </c>
      <c r="R32" s="17">
        <v>50000</v>
      </c>
      <c r="S32" s="17">
        <v>50000</v>
      </c>
      <c r="T32" s="17">
        <v>50000</v>
      </c>
      <c r="U32" s="17">
        <v>50000</v>
      </c>
      <c r="V32" s="17">
        <v>50000</v>
      </c>
      <c r="W32" s="17">
        <v>50000</v>
      </c>
      <c r="X32" s="17">
        <v>50000</v>
      </c>
      <c r="Y32" s="17">
        <v>50000</v>
      </c>
      <c r="Z32" s="17">
        <v>50000</v>
      </c>
      <c r="AA32" s="17">
        <v>50000</v>
      </c>
      <c r="AB32" s="17">
        <v>50000</v>
      </c>
      <c r="AC32" s="17">
        <v>50000</v>
      </c>
    </row>
    <row r="33" spans="2:14" x14ac:dyDescent="0.2">
      <c r="C33" s="5" t="s">
        <v>5</v>
      </c>
      <c r="D33" s="18">
        <f>PV(0.06,N31,,-N33)</f>
        <v>271163.45534268563</v>
      </c>
      <c r="N33" s="6">
        <f>PV(0.06,15,-O32,0)</f>
        <v>485612.44938704977</v>
      </c>
    </row>
    <row r="35" spans="2:14" ht="12" thickBot="1" x14ac:dyDescent="0.25">
      <c r="B35" s="20" t="s">
        <v>7</v>
      </c>
      <c r="C35" s="15" t="s">
        <v>3</v>
      </c>
      <c r="D35" s="15">
        <v>0</v>
      </c>
      <c r="E35" s="15">
        <v>1</v>
      </c>
      <c r="F35" s="16">
        <v>2</v>
      </c>
      <c r="G35" s="16">
        <v>3</v>
      </c>
      <c r="H35" s="15">
        <v>4</v>
      </c>
      <c r="I35" s="16">
        <v>5</v>
      </c>
      <c r="J35" s="16">
        <v>6</v>
      </c>
      <c r="K35" s="16" t="s">
        <v>8</v>
      </c>
    </row>
    <row r="36" spans="2:14" ht="12" thickTop="1" x14ac:dyDescent="0.2">
      <c r="B36" s="21"/>
      <c r="C36" s="5" t="s">
        <v>0</v>
      </c>
      <c r="D36" s="5"/>
      <c r="E36" s="17">
        <v>15000</v>
      </c>
      <c r="F36" s="17">
        <f>E36*1.03</f>
        <v>15450</v>
      </c>
      <c r="G36" s="17">
        <f t="shared" ref="G36:J36" si="1">F36*1.03</f>
        <v>15913.5</v>
      </c>
      <c r="H36" s="17">
        <f t="shared" si="1"/>
        <v>16390.904999999999</v>
      </c>
      <c r="I36" s="17">
        <f t="shared" si="1"/>
        <v>16882.632149999998</v>
      </c>
      <c r="J36" s="17">
        <f t="shared" si="1"/>
        <v>17389.1111145</v>
      </c>
    </row>
    <row r="37" spans="2:14" x14ac:dyDescent="0.2">
      <c r="C37" s="5" t="s">
        <v>5</v>
      </c>
      <c r="D37" s="18">
        <f>E36/(0.06-0.02)</f>
        <v>375000.00000000006</v>
      </c>
    </row>
  </sheetData>
  <mergeCells count="6">
    <mergeCell ref="B35:B36"/>
    <mergeCell ref="B12:B13"/>
    <mergeCell ref="B16:B17"/>
    <mergeCell ref="B27:B28"/>
    <mergeCell ref="B31:B32"/>
    <mergeCell ref="B20:B21"/>
  </mergeCell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1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2023-08-09T12:52:46Z</dcterms:modified>
</cp:coreProperties>
</file>