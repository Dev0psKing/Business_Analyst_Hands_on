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Course Exam/Data/"/>
    </mc:Choice>
  </mc:AlternateContent>
  <xr:revisionPtr revIDLastSave="776" documentId="8_{CA4F2068-03BD-45AD-A961-80457E1649FB}" xr6:coauthVersionLast="47" xr6:coauthVersionMax="47" xr10:uidLastSave="{580BFCED-2653-4E18-A6C1-FF25541389CD}"/>
  <bookViews>
    <workbookView xWindow="-120" yWindow="-120" windowWidth="29040" windowHeight="15720" xr2:uid="{00000000-000D-0000-FFFF-FFFF00000000}"/>
  </bookViews>
  <sheets>
    <sheet name="Stock Returns" sheetId="14" r:id="rId1"/>
    <sheet name="Retirement planning " sheetId="15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5" l="1"/>
  <c r="C31" i="15" s="1"/>
  <c r="D26" i="15"/>
  <c r="D27" i="15" l="1"/>
  <c r="H27" i="15"/>
  <c r="H28" i="15" s="1"/>
  <c r="H29" i="15" s="1"/>
  <c r="H31" i="15" s="1"/>
  <c r="G27" i="15"/>
  <c r="G28" i="15" s="1"/>
  <c r="G29" i="15" s="1"/>
  <c r="F27" i="15"/>
  <c r="F28" i="15" s="1"/>
  <c r="F29" i="15" s="1"/>
  <c r="E27" i="15"/>
  <c r="E28" i="15" s="1"/>
  <c r="E29" i="15" s="1"/>
  <c r="G8" i="14"/>
  <c r="H8" i="14"/>
  <c r="G9" i="14"/>
  <c r="H9" i="14"/>
  <c r="G10" i="14"/>
  <c r="H10" i="14"/>
  <c r="G11" i="14"/>
  <c r="H11" i="14"/>
  <c r="G12" i="14"/>
  <c r="H12" i="14"/>
  <c r="G13" i="14"/>
  <c r="H13" i="14"/>
  <c r="G14" i="14"/>
  <c r="H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G24" i="14"/>
  <c r="H24" i="14"/>
  <c r="G25" i="14"/>
  <c r="H25" i="14"/>
  <c r="G26" i="14"/>
  <c r="H26" i="14"/>
  <c r="G27" i="14"/>
  <c r="H27" i="14"/>
  <c r="G28" i="14"/>
  <c r="H28" i="14"/>
  <c r="G29" i="14"/>
  <c r="H29" i="14"/>
  <c r="G30" i="14"/>
  <c r="H30" i="14"/>
  <c r="F9" i="14"/>
  <c r="F10" i="14"/>
  <c r="F11" i="14"/>
  <c r="F12" i="14"/>
  <c r="F32" i="14" s="1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8" i="14"/>
  <c r="C33" i="15" l="1" a="1"/>
  <c r="C33" i="15" s="1"/>
  <c r="D28" i="15"/>
  <c r="D29" i="15" s="1"/>
  <c r="E24" i="15" s="1"/>
  <c r="G24" i="15"/>
  <c r="F24" i="15"/>
  <c r="H24" i="15"/>
  <c r="G33" i="14" a="1"/>
  <c r="G33" i="14" s="1"/>
  <c r="H32" i="14"/>
  <c r="H33" i="14" a="1"/>
  <c r="H33" i="14" s="1"/>
  <c r="F33" i="14" a="1"/>
  <c r="F33" i="14" s="1"/>
  <c r="G32" i="14"/>
  <c r="E25" i="15" l="1"/>
  <c r="D31" i="15" s="1"/>
  <c r="H25" i="15"/>
  <c r="F25" i="15"/>
  <c r="G25" i="15"/>
  <c r="F31" i="15" l="1"/>
  <c r="E31" i="15"/>
  <c r="C32" i="15" s="1"/>
  <c r="C34" i="15" s="1"/>
  <c r="G31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<sst xmlns="http://schemas.openxmlformats.org/spreadsheetml/2006/main" count="26" uniqueCount="26">
  <si>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Year</t>
  </si>
  <si>
    <t>Stock Returns</t>
  </si>
  <si>
    <t>Date</t>
  </si>
  <si>
    <t>Amazon (AMZN)</t>
  </si>
  <si>
    <t>Microsoft (MSFT)</t>
  </si>
  <si>
    <t>Apple Stock Return (AAPL)</t>
  </si>
  <si>
    <t>Geometric Mean</t>
  </si>
  <si>
    <t>Net returns</t>
  </si>
  <si>
    <t>Balance from previous year</t>
  </si>
  <si>
    <t>Net Balance at beginning of year</t>
  </si>
  <si>
    <t>Investment gain (loss)</t>
  </si>
  <si>
    <t>Balance (at the end of the year)</t>
  </si>
  <si>
    <t>Input Data</t>
  </si>
  <si>
    <t>Output</t>
  </si>
  <si>
    <t>Amazon (AMZN) HPR</t>
  </si>
  <si>
    <t>Microsoft (MSFT) HPR</t>
  </si>
  <si>
    <t xml:space="preserve">Apple (AAPL) HPR </t>
  </si>
  <si>
    <t xml:space="preserve">Arithmetic Mean </t>
  </si>
  <si>
    <t xml:space="preserve">Retirement planning </t>
  </si>
  <si>
    <t>Return (%)</t>
  </si>
  <si>
    <t>Assets Under Management (AUM,mm)</t>
  </si>
  <si>
    <t>Withdrawals / (New Investment)</t>
  </si>
  <si>
    <t>Cash Flows</t>
  </si>
  <si>
    <t>Money-weighted Rate of Return</t>
  </si>
  <si>
    <t>Time-weighed Rate of Return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</si>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</sst>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/>
      <bottom style="double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6" fillId="2" borderId="0" xfId="2" applyFont="1" applyFill="1" applyAlignment="1">
      <alignment horizontal="left" vertical="center"/>
    </xf>
    <xf numFmtId="0" fontId="7" fillId="2" borderId="1" xfId="4" applyFont="1" applyFill="1" applyBorder="1" applyAlignment="1">
      <alignment horizontal="center"/>
    </xf>
    <xf numFmtId="37" fontId="7" fillId="2" borderId="1" xfId="5" applyNumberFormat="1" applyFont="1" applyFill="1" applyBorder="1" applyAlignment="1">
      <alignment horizontal="center"/>
    </xf>
    <xf numFmtId="0" fontId="8" fillId="2" borderId="0" xfId="8" applyFont="1" applyFill="1"/>
    <xf numFmtId="0" fontId="9" fillId="2" borderId="0" xfId="8" applyFont="1" applyFill="1"/>
    <xf numFmtId="0" fontId="8" fillId="2" borderId="0" xfId="8" applyFont="1" applyFill="1" applyAlignment="1">
      <alignment horizontal="center"/>
    </xf>
    <xf numFmtId="0" fontId="9" fillId="2" borderId="2" xfId="8" applyFont="1" applyFill="1" applyBorder="1" applyAlignment="1">
      <alignment horizontal="center" vertical="center" wrapText="1"/>
    </xf>
    <xf numFmtId="4" fontId="10" fillId="2" borderId="0" xfId="8" applyNumberFormat="1" applyFont="1" applyFill="1" applyAlignment="1">
      <alignment horizontal="center" vertical="center"/>
    </xf>
    <xf numFmtId="4" fontId="8" fillId="2" borderId="0" xfId="8" applyNumberFormat="1" applyFont="1" applyFill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10" fontId="8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10" fontId="8" fillId="2" borderId="0" xfId="8" applyNumberFormat="1" applyFont="1" applyFill="1" applyAlignment="1">
      <alignment horizontal="center" vertical="center"/>
    </xf>
    <xf numFmtId="9" fontId="8" fillId="2" borderId="0" xfId="8" applyNumberFormat="1" applyFont="1" applyFill="1" applyAlignment="1">
      <alignment horizontal="center" vertical="center"/>
    </xf>
    <xf numFmtId="165" fontId="8" fillId="2" borderId="0" xfId="8" applyNumberFormat="1" applyFont="1" applyFill="1" applyAlignment="1">
      <alignment horizontal="center" vertical="center"/>
    </xf>
    <xf numFmtId="0" fontId="11" fillId="2" borderId="0" xfId="8" applyFont="1" applyFill="1" applyAlignment="1">
      <alignment horizontal="center" vertical="center"/>
    </xf>
    <xf numFmtId="49" fontId="12" fillId="2" borderId="1" xfId="4" applyNumberFormat="1" applyFont="1" applyFill="1" applyBorder="1" applyAlignment="1">
      <alignment wrapText="1"/>
    </xf>
    <xf numFmtId="49" fontId="12" fillId="2" borderId="1" xfId="4" applyNumberFormat="1" applyFont="1" applyFill="1" applyBorder="1" applyAlignment="1">
      <alignment horizontal="center" wrapText="1"/>
    </xf>
    <xf numFmtId="0" fontId="7" fillId="2" borderId="1" xfId="4" applyFont="1" applyFill="1" applyBorder="1"/>
    <xf numFmtId="7" fontId="7" fillId="2" borderId="1" xfId="4" applyNumberFormat="1" applyFont="1" applyFill="1" applyBorder="1"/>
    <xf numFmtId="10" fontId="7" fillId="2" borderId="3" xfId="4" applyNumberFormat="1" applyFont="1" applyFill="1" applyBorder="1" applyAlignment="1">
      <alignment horizontal="center" vertical="center"/>
    </xf>
    <xf numFmtId="0" fontId="8" fillId="2" borderId="0" xfId="8" applyFont="1" applyFill="1" applyAlignment="1">
      <alignment horizontal="left" vertical="top"/>
    </xf>
    <xf numFmtId="0" fontId="8" fillId="2" borderId="4" xfId="8" applyFont="1" applyFill="1" applyBorder="1" applyAlignment="1">
      <alignment horizontal="center" vertical="center"/>
    </xf>
    <xf numFmtId="0" fontId="8" fillId="2" borderId="4" xfId="8" applyFont="1" applyFill="1" applyBorder="1" applyAlignment="1">
      <alignment horizontal="center" vertical="center" wrapText="1"/>
    </xf>
    <xf numFmtId="8" fontId="8" fillId="2" borderId="0" xfId="8" applyNumberFormat="1" applyFont="1" applyFill="1" applyAlignment="1">
      <alignment horizontal="center" vertical="center"/>
    </xf>
    <xf numFmtId="10" fontId="11" fillId="2" borderId="0" xfId="8" applyNumberFormat="1" applyFont="1" applyFill="1" applyAlignment="1">
      <alignment horizontal="center" vertical="center"/>
    </xf>
    <xf numFmtId="164" fontId="8" fillId="2" borderId="0" xfId="8" applyNumberFormat="1" applyFont="1" applyFill="1" applyAlignment="1">
      <alignment horizontal="center" vertic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3" xfId="8" xr:uid="{DC14AD99-C229-4BAD-86EB-E0E1587C54B6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5807-7E79-4FCF-8B0A-2D7D683AF358}">
  <dimension ref="B1:L37"/>
  <sheetViews>
    <sheetView tabSelected="1" zoomScaleNormal="100" workbookViewId="0"/>
  </sheetViews>
  <sheetFormatPr defaultColWidth="9" defaultRowHeight="12" x14ac:dyDescent="0.2"/>
  <cols>
    <col min="1" max="1" width="2.28515625" style="4" customWidth="1"/>
    <col min="2" max="2" width="13.5703125" style="4" customWidth="1"/>
    <col min="3" max="3" width="21.28515625" style="4" bestFit="1" customWidth="1"/>
    <col min="4" max="4" width="22.85546875" style="4" bestFit="1" customWidth="1"/>
    <col min="5" max="7" width="20.28515625" style="4" bestFit="1" customWidth="1"/>
    <col min="8" max="8" width="18.5703125" style="4" customWidth="1"/>
    <col min="9" max="16384" width="9" style="4"/>
  </cols>
  <sheetData>
    <row r="1" spans="2:12" ht="15.75" x14ac:dyDescent="0.2">
      <c r="B1" s="1" t="s">
        <v>1</v>
      </c>
    </row>
    <row r="2" spans="2:12" x14ac:dyDescent="0.2">
      <c r="B2" s="5"/>
    </row>
    <row r="3" spans="2:12" x14ac:dyDescent="0.2">
      <c r="F3" s="6"/>
      <c r="G3" s="6"/>
      <c r="H3" s="6"/>
    </row>
    <row r="4" spans="2:12" x14ac:dyDescent="0.2">
      <c r="F4" s="6"/>
      <c r="G4" s="6"/>
      <c r="H4" s="6"/>
    </row>
    <row r="5" spans="2:12" x14ac:dyDescent="0.2">
      <c r="F5" s="6"/>
      <c r="G5" s="6"/>
      <c r="H5" s="6"/>
    </row>
    <row r="6" spans="2:12" ht="24.75" thickBot="1" x14ac:dyDescent="0.25">
      <c r="B6" s="7" t="s">
        <v>2</v>
      </c>
      <c r="C6" s="7" t="s">
        <v>5</v>
      </c>
      <c r="D6" s="7" t="s">
        <v>3</v>
      </c>
      <c r="E6" s="7" t="s">
        <v>4</v>
      </c>
      <c r="F6" s="7" t="s">
        <v>16</v>
      </c>
      <c r="G6" s="7" t="s">
        <v>14</v>
      </c>
      <c r="H6" s="7" t="s">
        <v>15</v>
      </c>
      <c r="I6" s="10"/>
      <c r="J6" s="10"/>
      <c r="K6" s="10"/>
      <c r="L6" s="10"/>
    </row>
    <row r="7" spans="2:12" x14ac:dyDescent="0.2">
      <c r="B7" s="13">
        <v>43282</v>
      </c>
      <c r="C7" s="8">
        <v>40.349578999999999</v>
      </c>
      <c r="D7" s="8">
        <v>1777.4399410000001</v>
      </c>
      <c r="E7" s="9">
        <v>102.86740899999999</v>
      </c>
      <c r="F7" s="10"/>
      <c r="G7" s="10"/>
      <c r="H7" s="10"/>
      <c r="I7" s="10"/>
      <c r="J7" s="10"/>
      <c r="K7" s="10"/>
      <c r="L7" s="10"/>
    </row>
    <row r="8" spans="2:12" x14ac:dyDescent="0.2">
      <c r="B8" s="13">
        <v>43313</v>
      </c>
      <c r="C8" s="8">
        <v>42.925803999999999</v>
      </c>
      <c r="D8" s="8">
        <v>2012.709961</v>
      </c>
      <c r="E8" s="9">
        <v>108.928123</v>
      </c>
      <c r="F8" s="11">
        <f>(C8-C7)/C7</f>
        <v>6.3847630231780139E-2</v>
      </c>
      <c r="G8" s="12">
        <f t="shared" ref="G8:H23" si="0">(D8-D7)/D7</f>
        <v>0.13236453990543015</v>
      </c>
      <c r="H8" s="12">
        <f t="shared" si="0"/>
        <v>5.8917727771290562E-2</v>
      </c>
      <c r="I8" s="10"/>
      <c r="J8" s="10"/>
      <c r="K8" s="10"/>
      <c r="L8" s="10"/>
    </row>
    <row r="9" spans="2:12" x14ac:dyDescent="0.2">
      <c r="B9" s="13">
        <v>43344</v>
      </c>
      <c r="C9" s="8">
        <v>40.598782</v>
      </c>
      <c r="D9" s="8">
        <v>2003</v>
      </c>
      <c r="E9" s="9">
        <v>111.33313</v>
      </c>
      <c r="F9" s="12">
        <f t="shared" ref="F9:F30" si="1">(C9-C8)/C8</f>
        <v>-5.4210329991722449E-2</v>
      </c>
      <c r="G9" s="12">
        <f t="shared" si="0"/>
        <v>-4.8243220275889622E-3</v>
      </c>
      <c r="H9" s="12">
        <f t="shared" si="0"/>
        <v>2.2078843679331533E-2</v>
      </c>
      <c r="I9" s="10"/>
      <c r="J9" s="10"/>
      <c r="K9" s="10"/>
      <c r="L9" s="10"/>
    </row>
    <row r="10" spans="2:12" x14ac:dyDescent="0.2">
      <c r="B10" s="13">
        <v>43374</v>
      </c>
      <c r="C10" s="8">
        <v>39.988998000000002</v>
      </c>
      <c r="D10" s="8">
        <v>1598.01001</v>
      </c>
      <c r="E10" s="9">
        <v>103.973877</v>
      </c>
      <c r="F10" s="12">
        <f t="shared" si="1"/>
        <v>-1.5019760937655658E-2</v>
      </c>
      <c r="G10" s="12">
        <f t="shared" si="0"/>
        <v>-0.20219170743884177</v>
      </c>
      <c r="H10" s="12">
        <f t="shared" si="0"/>
        <v>-6.6101195574039776E-2</v>
      </c>
      <c r="I10" s="10"/>
      <c r="J10" s="10"/>
      <c r="K10" s="10"/>
      <c r="L10" s="10"/>
    </row>
    <row r="11" spans="2:12" x14ac:dyDescent="0.2">
      <c r="B11" s="13">
        <v>43405</v>
      </c>
      <c r="C11" s="8">
        <v>45.218108999999998</v>
      </c>
      <c r="D11" s="8">
        <v>1690.170044</v>
      </c>
      <c r="E11" s="9">
        <v>107.945564</v>
      </c>
      <c r="F11" s="12">
        <f t="shared" si="1"/>
        <v>0.13076374156711792</v>
      </c>
      <c r="G11" s="12">
        <f t="shared" si="0"/>
        <v>5.7671750128774221E-2</v>
      </c>
      <c r="H11" s="12">
        <f t="shared" si="0"/>
        <v>3.8198892977704416E-2</v>
      </c>
      <c r="I11" s="10"/>
      <c r="J11" s="10"/>
      <c r="K11" s="10"/>
      <c r="L11" s="10"/>
    </row>
    <row r="12" spans="2:12" x14ac:dyDescent="0.2">
      <c r="B12" s="13">
        <v>43435</v>
      </c>
      <c r="C12" s="8">
        <v>44.964947000000002</v>
      </c>
      <c r="D12" s="8">
        <v>1501.969971</v>
      </c>
      <c r="E12" s="9">
        <v>99.300156000000001</v>
      </c>
      <c r="F12" s="12">
        <f t="shared" si="1"/>
        <v>-5.5986861370075454E-3</v>
      </c>
      <c r="G12" s="12">
        <f t="shared" si="0"/>
        <v>-0.11134978617571568</v>
      </c>
      <c r="H12" s="12">
        <f t="shared" si="0"/>
        <v>-8.0090442623469024E-2</v>
      </c>
      <c r="I12" s="10"/>
      <c r="J12" s="10"/>
      <c r="K12" s="10"/>
      <c r="L12" s="10"/>
    </row>
    <row r="13" spans="2:12" x14ac:dyDescent="0.2">
      <c r="B13" s="13">
        <v>43466</v>
      </c>
      <c r="C13" s="8">
        <v>46.223221000000002</v>
      </c>
      <c r="D13" s="8">
        <v>1718.7299800000001</v>
      </c>
      <c r="E13" s="9">
        <v>102.096245</v>
      </c>
      <c r="F13" s="12">
        <f t="shared" si="1"/>
        <v>2.7983442302289382E-2</v>
      </c>
      <c r="G13" s="12">
        <f t="shared" si="0"/>
        <v>0.14431713894764683</v>
      </c>
      <c r="H13" s="12">
        <f t="shared" si="0"/>
        <v>2.8157951735745458E-2</v>
      </c>
      <c r="I13" s="10"/>
      <c r="J13" s="10"/>
      <c r="K13" s="10"/>
      <c r="L13" s="10"/>
    </row>
    <row r="14" spans="2:12" x14ac:dyDescent="0.2">
      <c r="B14" s="13">
        <v>43497</v>
      </c>
      <c r="C14" s="8">
        <v>55.293456999999997</v>
      </c>
      <c r="D14" s="8">
        <v>1639.829956</v>
      </c>
      <c r="E14" s="9">
        <v>109.526405</v>
      </c>
      <c r="F14" s="12">
        <f t="shared" si="1"/>
        <v>0.19622682720444759</v>
      </c>
      <c r="G14" s="12">
        <f t="shared" si="0"/>
        <v>-4.5906003222216454E-2</v>
      </c>
      <c r="H14" s="12">
        <f t="shared" si="0"/>
        <v>7.2776035984477211E-2</v>
      </c>
      <c r="I14" s="10"/>
      <c r="J14" s="10"/>
      <c r="K14" s="10"/>
      <c r="L14" s="10"/>
    </row>
    <row r="15" spans="2:12" x14ac:dyDescent="0.2">
      <c r="B15" s="13">
        <v>43525</v>
      </c>
      <c r="C15" s="8">
        <v>55.026671999999998</v>
      </c>
      <c r="D15" s="8">
        <v>1780.75</v>
      </c>
      <c r="E15" s="9">
        <v>115.796768</v>
      </c>
      <c r="F15" s="12">
        <f t="shared" si="1"/>
        <v>-4.8248927535856322E-3</v>
      </c>
      <c r="G15" s="12">
        <f t="shared" si="0"/>
        <v>8.5935766378937864E-2</v>
      </c>
      <c r="H15" s="12">
        <f t="shared" si="0"/>
        <v>5.7249783739364069E-2</v>
      </c>
      <c r="I15" s="10"/>
      <c r="J15" s="10"/>
      <c r="K15" s="10"/>
      <c r="L15" s="10"/>
    </row>
    <row r="16" spans="2:12" x14ac:dyDescent="0.2">
      <c r="B16" s="13">
        <v>43556</v>
      </c>
      <c r="C16" s="8">
        <v>53.349594000000003</v>
      </c>
      <c r="D16" s="8">
        <v>1926.5200199999999</v>
      </c>
      <c r="E16" s="9">
        <v>128.22669999999999</v>
      </c>
      <c r="F16" s="12">
        <f t="shared" si="1"/>
        <v>-3.0477547324686372E-2</v>
      </c>
      <c r="G16" s="12">
        <f t="shared" si="0"/>
        <v>8.1858778604520524E-2</v>
      </c>
      <c r="H16" s="12">
        <f t="shared" si="0"/>
        <v>0.10734265053062615</v>
      </c>
      <c r="I16" s="10"/>
      <c r="J16" s="10"/>
      <c r="K16" s="10"/>
      <c r="L16" s="10"/>
    </row>
    <row r="17" spans="2:12" x14ac:dyDescent="0.2">
      <c r="B17" s="13">
        <v>43586</v>
      </c>
      <c r="C17" s="8">
        <v>43.530890999999997</v>
      </c>
      <c r="D17" s="8">
        <v>1775.0699460000001</v>
      </c>
      <c r="E17" s="9">
        <v>121.43244900000001</v>
      </c>
      <c r="F17" s="12">
        <f t="shared" si="1"/>
        <v>-0.18404456836166375</v>
      </c>
      <c r="G17" s="12">
        <f t="shared" si="0"/>
        <v>-7.8613288430815192E-2</v>
      </c>
      <c r="H17" s="12">
        <f t="shared" si="0"/>
        <v>-5.2986242334864646E-2</v>
      </c>
      <c r="I17" s="10"/>
      <c r="J17" s="10"/>
      <c r="K17" s="10"/>
      <c r="L17" s="10"/>
    </row>
    <row r="18" spans="2:12" x14ac:dyDescent="0.2">
      <c r="B18" s="13">
        <v>43617</v>
      </c>
      <c r="C18" s="8">
        <v>38.585068</v>
      </c>
      <c r="D18" s="8">
        <v>1893.630005</v>
      </c>
      <c r="E18" s="9">
        <v>132.012497</v>
      </c>
      <c r="F18" s="12">
        <f t="shared" si="1"/>
        <v>-0.11361639714656881</v>
      </c>
      <c r="G18" s="12">
        <f t="shared" si="0"/>
        <v>6.6791767427062221E-2</v>
      </c>
      <c r="H18" s="12">
        <f t="shared" si="0"/>
        <v>8.7127024836664457E-2</v>
      </c>
      <c r="I18" s="10"/>
      <c r="J18" s="10"/>
      <c r="K18" s="10"/>
      <c r="L18" s="10"/>
    </row>
    <row r="19" spans="2:12" x14ac:dyDescent="0.2">
      <c r="B19" s="13">
        <v>43647</v>
      </c>
      <c r="C19" s="8">
        <v>40.713183999999998</v>
      </c>
      <c r="D19" s="8">
        <v>1866.780029</v>
      </c>
      <c r="E19" s="9">
        <v>134.28892500000001</v>
      </c>
      <c r="F19" s="12">
        <f t="shared" si="1"/>
        <v>5.5153874550642197E-2</v>
      </c>
      <c r="G19" s="12">
        <f t="shared" si="0"/>
        <v>-1.4179103588929438E-2</v>
      </c>
      <c r="H19" s="12">
        <f t="shared" si="0"/>
        <v>1.724403410080191E-2</v>
      </c>
      <c r="I19" s="10"/>
      <c r="J19" s="10"/>
      <c r="K19" s="10"/>
      <c r="L19" s="10"/>
    </row>
    <row r="20" spans="2:12" x14ac:dyDescent="0.2">
      <c r="B20" s="13">
        <v>43678</v>
      </c>
      <c r="C20" s="8">
        <v>42.354534000000001</v>
      </c>
      <c r="D20" s="8">
        <v>1776.290039</v>
      </c>
      <c r="E20" s="9">
        <v>135.85580400000001</v>
      </c>
      <c r="F20" s="12">
        <f t="shared" si="1"/>
        <v>4.0314950557539364E-2</v>
      </c>
      <c r="G20" s="12">
        <f t="shared" si="0"/>
        <v>-4.8473836549705253E-2</v>
      </c>
      <c r="H20" s="12">
        <f t="shared" si="0"/>
        <v>1.1667968896169213E-2</v>
      </c>
      <c r="I20" s="10"/>
      <c r="J20" s="10"/>
      <c r="K20" s="10"/>
      <c r="L20" s="10"/>
    </row>
    <row r="21" spans="2:12" x14ac:dyDescent="0.2">
      <c r="B21" s="13">
        <v>43709</v>
      </c>
      <c r="C21" s="8">
        <v>46.663288000000001</v>
      </c>
      <c r="D21" s="8">
        <v>1735.910034</v>
      </c>
      <c r="E21" s="9">
        <v>137.46502699999999</v>
      </c>
      <c r="F21" s="12">
        <f t="shared" si="1"/>
        <v>0.10173064352449257</v>
      </c>
      <c r="G21" s="12">
        <f t="shared" si="0"/>
        <v>-2.2732776806389545E-2</v>
      </c>
      <c r="H21" s="12">
        <f t="shared" si="0"/>
        <v>1.184508098012497E-2</v>
      </c>
      <c r="I21" s="10"/>
      <c r="J21" s="10"/>
      <c r="K21" s="10"/>
      <c r="L21" s="10"/>
    </row>
    <row r="22" spans="2:12" x14ac:dyDescent="0.2">
      <c r="B22" s="13">
        <v>43739</v>
      </c>
      <c r="C22" s="8">
        <v>49.296771999999997</v>
      </c>
      <c r="D22" s="8">
        <v>1776.660034</v>
      </c>
      <c r="E22" s="9">
        <v>141.75616500000001</v>
      </c>
      <c r="F22" s="12">
        <f t="shared" si="1"/>
        <v>5.6435885958143278E-2</v>
      </c>
      <c r="G22" s="12">
        <f t="shared" si="0"/>
        <v>2.3474718851702887E-2</v>
      </c>
      <c r="H22" s="12">
        <f t="shared" si="0"/>
        <v>3.1216216179843461E-2</v>
      </c>
      <c r="I22" s="10"/>
      <c r="J22" s="10"/>
      <c r="K22" s="10"/>
      <c r="L22" s="10"/>
    </row>
    <row r="23" spans="2:12" x14ac:dyDescent="0.2">
      <c r="B23" s="13">
        <v>43770</v>
      </c>
      <c r="C23" s="8">
        <v>43.007851000000002</v>
      </c>
      <c r="D23" s="8">
        <v>1800.8000489999999</v>
      </c>
      <c r="E23" s="9">
        <v>149.67600999999999</v>
      </c>
      <c r="F23" s="12">
        <f t="shared" si="1"/>
        <v>-0.1275726735210978</v>
      </c>
      <c r="G23" s="12">
        <f t="shared" si="0"/>
        <v>1.3587301193268102E-2</v>
      </c>
      <c r="H23" s="12">
        <f t="shared" si="0"/>
        <v>5.586949251907302E-2</v>
      </c>
      <c r="I23" s="10"/>
      <c r="J23" s="10"/>
      <c r="K23" s="10"/>
      <c r="L23" s="10"/>
    </row>
    <row r="24" spans="2:12" x14ac:dyDescent="0.2">
      <c r="B24" s="13">
        <v>43800</v>
      </c>
      <c r="C24" s="8">
        <v>48.808441000000002</v>
      </c>
      <c r="D24" s="8">
        <v>1847.839966</v>
      </c>
      <c r="E24" s="9">
        <v>156.45542900000001</v>
      </c>
      <c r="F24" s="12">
        <f t="shared" si="1"/>
        <v>0.13487281659341685</v>
      </c>
      <c r="G24" s="12">
        <f t="shared" ref="G24:G30" si="2">(D24-D23)/D23</f>
        <v>2.6121676876964622E-2</v>
      </c>
      <c r="H24" s="12">
        <f t="shared" ref="H24:H30" si="3">(E24-E23)/E23</f>
        <v>4.5293958597640453E-2</v>
      </c>
      <c r="I24" s="10"/>
      <c r="J24" s="10"/>
      <c r="K24" s="10"/>
      <c r="L24" s="10"/>
    </row>
    <row r="25" spans="2:12" x14ac:dyDescent="0.2">
      <c r="B25" s="13">
        <v>43831</v>
      </c>
      <c r="C25" s="8">
        <v>52.537140000000001</v>
      </c>
      <c r="D25" s="8">
        <v>2008.719971</v>
      </c>
      <c r="E25" s="9">
        <v>168.886551</v>
      </c>
      <c r="F25" s="12">
        <f t="shared" si="1"/>
        <v>7.6394552327536933E-2</v>
      </c>
      <c r="G25" s="12">
        <f t="shared" si="2"/>
        <v>8.7063819356746175E-2</v>
      </c>
      <c r="H25" s="12">
        <f t="shared" si="3"/>
        <v>7.9454718059032564E-2</v>
      </c>
      <c r="I25" s="10"/>
      <c r="J25" s="10"/>
      <c r="K25" s="10"/>
      <c r="L25" s="10"/>
    </row>
    <row r="26" spans="2:12" x14ac:dyDescent="0.2">
      <c r="B26" s="13">
        <v>43862</v>
      </c>
      <c r="C26" s="8">
        <v>51.476730000000003</v>
      </c>
      <c r="D26" s="8">
        <v>1883.75</v>
      </c>
      <c r="E26" s="9">
        <v>160.73142999999999</v>
      </c>
      <c r="F26" s="12">
        <f t="shared" si="1"/>
        <v>-2.0184006971068418E-2</v>
      </c>
      <c r="G26" s="12">
        <f t="shared" si="2"/>
        <v>-6.2213734519593715E-2</v>
      </c>
      <c r="H26" s="12">
        <f t="shared" si="3"/>
        <v>-4.828756909127719E-2</v>
      </c>
      <c r="I26" s="10"/>
      <c r="J26" s="10"/>
      <c r="K26" s="10"/>
      <c r="L26" s="10"/>
    </row>
    <row r="27" spans="2:12" x14ac:dyDescent="0.2">
      <c r="B27" s="13">
        <v>43891</v>
      </c>
      <c r="C27" s="8">
        <v>55.442405999999998</v>
      </c>
      <c r="D27" s="8">
        <v>1949.719971</v>
      </c>
      <c r="E27" s="9">
        <v>156.892731</v>
      </c>
      <c r="F27" s="12">
        <f t="shared" si="1"/>
        <v>7.7038226787132638E-2</v>
      </c>
      <c r="G27" s="12">
        <f t="shared" si="2"/>
        <v>3.5020555275381546E-2</v>
      </c>
      <c r="H27" s="12">
        <f t="shared" si="3"/>
        <v>-2.3882690522942472E-2</v>
      </c>
      <c r="I27" s="10"/>
      <c r="J27" s="10"/>
      <c r="K27" s="10"/>
      <c r="L27" s="10"/>
    </row>
    <row r="28" spans="2:12" x14ac:dyDescent="0.2">
      <c r="B28" s="13">
        <v>43922</v>
      </c>
      <c r="C28" s="8">
        <v>61.579020999999997</v>
      </c>
      <c r="D28" s="8">
        <v>2474</v>
      </c>
      <c r="E28" s="9">
        <v>178.28131099999999</v>
      </c>
      <c r="F28" s="12">
        <f t="shared" si="1"/>
        <v>0.11068450023615496</v>
      </c>
      <c r="G28" s="12">
        <f t="shared" si="2"/>
        <v>0.26890016863862753</v>
      </c>
      <c r="H28" s="12">
        <f t="shared" si="3"/>
        <v>0.13632613737853788</v>
      </c>
      <c r="I28" s="10"/>
      <c r="J28" s="10"/>
      <c r="K28" s="10"/>
      <c r="L28" s="10"/>
    </row>
    <row r="29" spans="2:12" x14ac:dyDescent="0.2">
      <c r="B29" s="13">
        <v>43952</v>
      </c>
      <c r="C29" s="8">
        <v>66.156113000000005</v>
      </c>
      <c r="D29" s="8">
        <v>2442.3701169999999</v>
      </c>
      <c r="E29" s="9">
        <v>182.30038500000001</v>
      </c>
      <c r="F29" s="12">
        <f t="shared" si="1"/>
        <v>7.4328755567582144E-2</v>
      </c>
      <c r="G29" s="12">
        <f t="shared" si="2"/>
        <v>-1.2784916329830261E-2</v>
      </c>
      <c r="H29" s="12">
        <f t="shared" si="3"/>
        <v>2.2543439788817898E-2</v>
      </c>
      <c r="I29" s="10"/>
      <c r="J29" s="10"/>
      <c r="K29" s="10"/>
      <c r="L29" s="10"/>
    </row>
    <row r="30" spans="2:12" x14ac:dyDescent="0.2">
      <c r="B30" s="13">
        <v>43983</v>
      </c>
      <c r="C30" s="8">
        <v>72.909499999999994</v>
      </c>
      <c r="D30" s="8">
        <v>2758.820068</v>
      </c>
      <c r="E30" s="9">
        <v>203.019226</v>
      </c>
      <c r="F30" s="12">
        <f t="shared" si="1"/>
        <v>0.1020825845678084</v>
      </c>
      <c r="G30" s="12">
        <f t="shared" si="2"/>
        <v>0.12956674698783996</v>
      </c>
      <c r="H30" s="12">
        <f t="shared" si="3"/>
        <v>0.11365220649424299</v>
      </c>
      <c r="I30" s="10"/>
      <c r="J30" s="10"/>
      <c r="K30" s="10"/>
      <c r="L30" s="10"/>
    </row>
    <row r="31" spans="2:12" x14ac:dyDescent="0.2">
      <c r="E31" s="10"/>
      <c r="F31" s="10"/>
      <c r="G31" s="10"/>
      <c r="H31" s="10"/>
      <c r="I31" s="10"/>
      <c r="J31" s="10"/>
      <c r="K31" s="10"/>
      <c r="L31" s="10"/>
    </row>
    <row r="32" spans="2:12" x14ac:dyDescent="0.2">
      <c r="E32" s="10" t="s">
        <v>17</v>
      </c>
      <c r="F32" s="22">
        <f>AVERAGE(F8:F30)</f>
        <v>3.0100416036131648E-2</v>
      </c>
      <c r="G32" s="22">
        <f>AVERAGE(G8:G30)</f>
        <v>2.3887184934055495E-2</v>
      </c>
      <c r="H32" s="22">
        <f>AVERAGE(H8:H30)</f>
        <v>3.1548435830560662E-2</v>
      </c>
      <c r="I32" s="10"/>
      <c r="J32" s="10"/>
      <c r="K32" s="10"/>
      <c r="L32" s="10"/>
    </row>
    <row r="33" spans="5:12" x14ac:dyDescent="0.2">
      <c r="E33" s="10" t="s">
        <v>6</v>
      </c>
      <c r="F33" s="22" cm="1">
        <f t="array" ref="F33">GEOMEAN(F8:F30+1)-1</f>
        <v>2.6057092236549284E-2</v>
      </c>
      <c r="G33" s="22" cm="1">
        <f t="array" ref="G33">GEOMEAN(G8:G30+1)-1</f>
        <v>1.9298151419004483E-2</v>
      </c>
      <c r="H33" s="22" cm="1">
        <f t="array" ref="H33">GEOMEAN(H8:H30+1)-1</f>
        <v>3.0000329808957948E-2</v>
      </c>
      <c r="I33" s="10"/>
      <c r="J33" s="10"/>
      <c r="K33" s="10"/>
      <c r="L33" s="10"/>
    </row>
    <row r="34" spans="5:12" x14ac:dyDescent="0.2">
      <c r="E34" s="10"/>
      <c r="F34" s="28"/>
      <c r="G34" s="28"/>
      <c r="H34" s="28"/>
      <c r="I34" s="10"/>
      <c r="J34" s="10"/>
      <c r="K34" s="10"/>
      <c r="L34" s="10"/>
    </row>
    <row r="35" spans="5:12" x14ac:dyDescent="0.2">
      <c r="E35" s="10"/>
      <c r="F35" s="14"/>
      <c r="G35" s="14"/>
      <c r="H35" s="14"/>
      <c r="I35" s="10"/>
      <c r="J35" s="10"/>
      <c r="K35" s="10"/>
      <c r="L35" s="10"/>
    </row>
    <row r="36" spans="5:12" x14ac:dyDescent="0.2">
      <c r="E36" s="10"/>
      <c r="F36" s="10"/>
      <c r="G36" s="10"/>
      <c r="H36" s="10"/>
      <c r="I36" s="10"/>
      <c r="J36" s="10"/>
      <c r="K36" s="10"/>
      <c r="L36" s="10"/>
    </row>
    <row r="37" spans="5:12" x14ac:dyDescent="0.2">
      <c r="E37" s="10"/>
      <c r="F37" s="10"/>
      <c r="G37" s="10"/>
      <c r="H37" s="10"/>
      <c r="I37" s="10"/>
      <c r="J37" s="10"/>
      <c r="K37" s="10"/>
      <c r="L37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BB5B-7A80-400B-A48C-BAEC0CC43B05}">
  <dimension ref="B1:R41"/>
  <sheetViews>
    <sheetView zoomScaleNormal="100" workbookViewId="0"/>
  </sheetViews>
  <sheetFormatPr defaultColWidth="9" defaultRowHeight="12" x14ac:dyDescent="0.2"/>
  <cols>
    <col min="1" max="1" width="2.28515625" style="4" customWidth="1"/>
    <col min="2" max="2" width="32.7109375" style="4" customWidth="1"/>
    <col min="3" max="3" width="20.42578125" style="4" customWidth="1"/>
    <col min="4" max="4" width="22.85546875" style="4" customWidth="1"/>
    <col min="5" max="5" width="17.140625" style="4" customWidth="1"/>
    <col min="6" max="6" width="20.28515625" style="4" bestFit="1" customWidth="1"/>
    <col min="7" max="7" width="9" style="4"/>
    <col min="8" max="8" width="12.5703125" style="4" customWidth="1"/>
    <col min="9" max="9" width="10.7109375" style="4" customWidth="1"/>
    <col min="10" max="10" width="10.5703125" style="4" customWidth="1"/>
    <col min="11" max="16384" width="9" style="4"/>
  </cols>
  <sheetData>
    <row r="1" spans="2:7" ht="15.75" x14ac:dyDescent="0.2">
      <c r="B1" s="1" t="s">
        <v>18</v>
      </c>
    </row>
    <row r="2" spans="2:7" x14ac:dyDescent="0.2">
      <c r="B2" s="5"/>
    </row>
    <row r="3" spans="2:7" x14ac:dyDescent="0.2">
      <c r="F3" s="6"/>
      <c r="G3" s="6"/>
    </row>
    <row r="4" spans="2:7" ht="12.75" thickBot="1" x14ac:dyDescent="0.25">
      <c r="B4" s="18" t="s">
        <v>12</v>
      </c>
      <c r="C4" s="19"/>
      <c r="D4" s="20"/>
      <c r="E4" s="20"/>
      <c r="F4" s="21"/>
      <c r="G4" s="20"/>
    </row>
    <row r="5" spans="2:7" ht="12.75" thickTop="1" x14ac:dyDescent="0.2">
      <c r="F5" s="6"/>
      <c r="G5" s="6"/>
    </row>
    <row r="6" spans="2:7" x14ac:dyDescent="0.2">
      <c r="F6" s="6"/>
      <c r="G6" s="6"/>
    </row>
    <row r="7" spans="2:7" ht="24.75" thickBot="1" x14ac:dyDescent="0.25">
      <c r="B7" s="24" t="s">
        <v>0</v>
      </c>
      <c r="C7" s="25" t="s">
        <v>20</v>
      </c>
      <c r="D7" s="24" t="s">
        <v>7</v>
      </c>
      <c r="F7" s="6"/>
      <c r="G7" s="6"/>
    </row>
    <row r="8" spans="2:7" ht="12.75" thickTop="1" x14ac:dyDescent="0.2">
      <c r="B8" s="10">
        <v>1</v>
      </c>
      <c r="C8" s="26">
        <v>60</v>
      </c>
      <c r="D8" s="15">
        <v>0.3</v>
      </c>
      <c r="F8" s="6"/>
      <c r="G8" s="6"/>
    </row>
    <row r="9" spans="2:7" x14ac:dyDescent="0.2">
      <c r="B9" s="10">
        <v>2</v>
      </c>
      <c r="C9" s="26">
        <v>90</v>
      </c>
      <c r="D9" s="15">
        <v>-0.1</v>
      </c>
      <c r="F9" s="6"/>
      <c r="G9" s="6"/>
    </row>
    <row r="10" spans="2:7" x14ac:dyDescent="0.2">
      <c r="B10" s="10">
        <v>3</v>
      </c>
      <c r="C10" s="26">
        <v>40</v>
      </c>
      <c r="D10" s="15">
        <v>0.2</v>
      </c>
      <c r="F10" s="6"/>
      <c r="G10" s="6"/>
    </row>
    <row r="11" spans="2:7" x14ac:dyDescent="0.2">
      <c r="B11" s="10">
        <v>4</v>
      </c>
      <c r="C11" s="26">
        <v>50</v>
      </c>
      <c r="D11" s="15">
        <v>0.3</v>
      </c>
      <c r="F11" s="6"/>
      <c r="G11" s="6"/>
    </row>
    <row r="12" spans="2:7" x14ac:dyDescent="0.2">
      <c r="B12" s="10">
        <v>5</v>
      </c>
      <c r="C12" s="26">
        <v>70</v>
      </c>
      <c r="D12" s="15">
        <v>0.06</v>
      </c>
      <c r="F12" s="6"/>
      <c r="G12" s="6"/>
    </row>
    <row r="13" spans="2:7" x14ac:dyDescent="0.2">
      <c r="F13" s="6"/>
      <c r="G13" s="6"/>
    </row>
    <row r="14" spans="2:7" x14ac:dyDescent="0.2">
      <c r="F14" s="6"/>
      <c r="G14" s="6"/>
    </row>
    <row r="15" spans="2:7" x14ac:dyDescent="0.2">
      <c r="F15" s="6"/>
      <c r="G15" s="6"/>
    </row>
    <row r="16" spans="2:7" x14ac:dyDescent="0.2">
      <c r="F16" s="6"/>
      <c r="G16" s="6"/>
    </row>
    <row r="17" spans="2:18" x14ac:dyDescent="0.2">
      <c r="F17" s="6"/>
      <c r="G17" s="6"/>
    </row>
    <row r="18" spans="2:18" x14ac:dyDescent="0.2">
      <c r="F18" s="6"/>
      <c r="G18" s="6"/>
    </row>
    <row r="19" spans="2:18" x14ac:dyDescent="0.2">
      <c r="F19" s="6"/>
      <c r="G19" s="6"/>
      <c r="P19" s="10"/>
      <c r="Q19" s="10"/>
      <c r="R19" s="10"/>
    </row>
    <row r="20" spans="2:18" ht="12.75" thickBot="1" x14ac:dyDescent="0.25">
      <c r="B20" s="18" t="s">
        <v>13</v>
      </c>
      <c r="C20" s="19"/>
      <c r="D20" s="20"/>
      <c r="E20" s="20"/>
      <c r="F20" s="21"/>
      <c r="G20" s="20"/>
      <c r="P20" s="10"/>
      <c r="Q20" s="10"/>
      <c r="R20" s="10"/>
    </row>
    <row r="21" spans="2:18" ht="12.75" thickTop="1" x14ac:dyDescent="0.2">
      <c r="F21" s="6"/>
      <c r="G21" s="6"/>
      <c r="P21" s="10"/>
      <c r="Q21" s="10"/>
      <c r="R21" s="10"/>
    </row>
    <row r="22" spans="2:18" x14ac:dyDescent="0.2">
      <c r="F22" s="6"/>
      <c r="G22" s="6"/>
      <c r="P22" s="10"/>
      <c r="Q22" s="10"/>
      <c r="R22" s="10"/>
    </row>
    <row r="23" spans="2:18" ht="12.75" thickBot="1" x14ac:dyDescent="0.25">
      <c r="B23" s="10"/>
      <c r="C23" s="3">
        <v>0</v>
      </c>
      <c r="D23" s="3">
        <v>1</v>
      </c>
      <c r="E23" s="2">
        <v>2</v>
      </c>
      <c r="F23" s="3">
        <v>3</v>
      </c>
      <c r="G23" s="3">
        <v>4</v>
      </c>
      <c r="H23" s="2">
        <v>5</v>
      </c>
      <c r="I23" s="10"/>
      <c r="J23" s="10"/>
      <c r="K23" s="10"/>
      <c r="P23" s="10"/>
      <c r="Q23" s="10"/>
      <c r="R23" s="10"/>
    </row>
    <row r="24" spans="2:18" ht="12.75" thickTop="1" x14ac:dyDescent="0.2">
      <c r="B24" s="23" t="s">
        <v>8</v>
      </c>
      <c r="D24" s="26">
        <v>0</v>
      </c>
      <c r="E24" s="26">
        <f>D29</f>
        <v>78</v>
      </c>
      <c r="F24" s="26">
        <f t="shared" ref="F24:H24" si="0">E29</f>
        <v>81</v>
      </c>
      <c r="G24" s="26">
        <f t="shared" si="0"/>
        <v>48</v>
      </c>
      <c r="H24" s="26">
        <f t="shared" si="0"/>
        <v>65</v>
      </c>
      <c r="P24" s="10"/>
      <c r="Q24" s="10"/>
      <c r="R24" s="10"/>
    </row>
    <row r="25" spans="2:18" x14ac:dyDescent="0.2">
      <c r="B25" s="23" t="s">
        <v>21</v>
      </c>
      <c r="D25" s="26">
        <f>-C8</f>
        <v>-60</v>
      </c>
      <c r="E25" s="26">
        <f>E24-E26</f>
        <v>-12</v>
      </c>
      <c r="F25" s="26">
        <f t="shared" ref="F25:H25" si="1">F24-F26</f>
        <v>41</v>
      </c>
      <c r="G25" s="26">
        <f t="shared" si="1"/>
        <v>-2</v>
      </c>
      <c r="H25" s="26">
        <f t="shared" si="1"/>
        <v>-5</v>
      </c>
      <c r="P25" s="10"/>
      <c r="Q25" s="10"/>
      <c r="R25" s="10"/>
    </row>
    <row r="26" spans="2:18" x14ac:dyDescent="0.2">
      <c r="B26" s="23" t="s">
        <v>9</v>
      </c>
      <c r="D26" s="26">
        <f>C8</f>
        <v>60</v>
      </c>
      <c r="E26" s="26">
        <v>90</v>
      </c>
      <c r="F26" s="26">
        <v>40</v>
      </c>
      <c r="G26" s="26">
        <v>50</v>
      </c>
      <c r="H26" s="26">
        <v>70</v>
      </c>
    </row>
    <row r="27" spans="2:18" x14ac:dyDescent="0.2">
      <c r="B27" s="23" t="s">
        <v>19</v>
      </c>
      <c r="D27" s="15">
        <f>D8</f>
        <v>0.3</v>
      </c>
      <c r="E27" s="15">
        <f>D9</f>
        <v>-0.1</v>
      </c>
      <c r="F27" s="15">
        <f>D10</f>
        <v>0.2</v>
      </c>
      <c r="G27" s="15">
        <f>D11</f>
        <v>0.3</v>
      </c>
      <c r="H27" s="15">
        <f>D12</f>
        <v>0.06</v>
      </c>
    </row>
    <row r="28" spans="2:18" x14ac:dyDescent="0.2">
      <c r="B28" s="23" t="s">
        <v>10</v>
      </c>
      <c r="D28" s="26">
        <f>D27*D26</f>
        <v>18</v>
      </c>
      <c r="E28" s="26">
        <f t="shared" ref="E28:H28" si="2">E27*E26</f>
        <v>-9</v>
      </c>
      <c r="F28" s="26">
        <f t="shared" si="2"/>
        <v>8</v>
      </c>
      <c r="G28" s="26">
        <f t="shared" si="2"/>
        <v>15</v>
      </c>
      <c r="H28" s="26">
        <f t="shared" si="2"/>
        <v>4.2</v>
      </c>
    </row>
    <row r="29" spans="2:18" x14ac:dyDescent="0.2">
      <c r="B29" s="23" t="s">
        <v>11</v>
      </c>
      <c r="D29" s="26">
        <f>D26+D28</f>
        <v>78</v>
      </c>
      <c r="E29" s="26">
        <f t="shared" ref="E29:H29" si="3">E26+E28</f>
        <v>81</v>
      </c>
      <c r="F29" s="26">
        <f t="shared" si="3"/>
        <v>48</v>
      </c>
      <c r="G29" s="26">
        <f t="shared" si="3"/>
        <v>65</v>
      </c>
      <c r="H29" s="26">
        <f t="shared" si="3"/>
        <v>74.2</v>
      </c>
    </row>
    <row r="30" spans="2:18" x14ac:dyDescent="0.2">
      <c r="B30" s="10"/>
      <c r="C30" s="10"/>
      <c r="D30" s="10"/>
      <c r="E30" s="10"/>
      <c r="F30" s="10"/>
      <c r="G30" s="10"/>
      <c r="H30" s="10"/>
    </row>
    <row r="31" spans="2:18" x14ac:dyDescent="0.2">
      <c r="B31" s="10" t="s">
        <v>22</v>
      </c>
      <c r="C31" s="26">
        <f>D25</f>
        <v>-60</v>
      </c>
      <c r="D31" s="26">
        <f>E25</f>
        <v>-12</v>
      </c>
      <c r="E31" s="26">
        <f>F25</f>
        <v>41</v>
      </c>
      <c r="F31" s="26">
        <f>G25</f>
        <v>-2</v>
      </c>
      <c r="G31" s="26">
        <f>H25</f>
        <v>-5</v>
      </c>
      <c r="H31" s="26">
        <f>H29</f>
        <v>74.2</v>
      </c>
    </row>
    <row r="32" spans="2:18" x14ac:dyDescent="0.2">
      <c r="B32" s="10" t="s">
        <v>23</v>
      </c>
      <c r="C32" s="27">
        <f>IRR(C31:H31)</f>
        <v>0.11763368273326091</v>
      </c>
      <c r="D32" s="17"/>
      <c r="E32" s="17"/>
      <c r="F32" s="17"/>
      <c r="G32" s="17"/>
      <c r="H32" s="10"/>
      <c r="I32" s="10"/>
      <c r="J32" s="10"/>
      <c r="K32" s="10"/>
    </row>
    <row r="33" spans="2:17" x14ac:dyDescent="0.2">
      <c r="B33" s="10" t="s">
        <v>24</v>
      </c>
      <c r="C33" s="14" cm="1">
        <f t="array" ref="C33">GEOMEAN(D27:H27+1)-1</f>
        <v>0.14109884313117815</v>
      </c>
      <c r="D33" s="10"/>
      <c r="E33" s="10"/>
      <c r="F33" s="16"/>
      <c r="G33" s="10"/>
      <c r="H33" s="10"/>
      <c r="K33" s="10"/>
    </row>
    <row r="34" spans="2:17" x14ac:dyDescent="0.2">
      <c r="B34" s="10" t="s">
        <v>25</v>
      </c>
      <c r="C34" s="14">
        <f>C33-C32</f>
        <v>2.346516039791724E-2</v>
      </c>
      <c r="D34" s="10"/>
      <c r="E34" s="10"/>
      <c r="F34" s="10"/>
      <c r="G34" s="10"/>
      <c r="H34" s="10"/>
      <c r="K34" s="10"/>
    </row>
    <row r="35" spans="2:17" x14ac:dyDescent="0.2">
      <c r="B35" s="10"/>
      <c r="C35" s="17"/>
      <c r="D35" s="17"/>
      <c r="E35" s="17"/>
      <c r="F35" s="17"/>
      <c r="G35" s="17"/>
      <c r="H35" s="17"/>
      <c r="K35" s="10"/>
      <c r="M35" s="10"/>
      <c r="N35" s="10"/>
      <c r="O35" s="10"/>
      <c r="P35" s="10"/>
      <c r="Q35" s="10"/>
    </row>
    <row r="36" spans="2:17" x14ac:dyDescent="0.2">
      <c r="B36" s="10"/>
      <c r="C36" s="26"/>
      <c r="D36" s="26"/>
      <c r="E36" s="26"/>
      <c r="F36" s="26"/>
      <c r="G36" s="26"/>
      <c r="H36" s="26"/>
      <c r="K36" s="10"/>
      <c r="N36" s="10"/>
      <c r="O36" s="10"/>
      <c r="P36" s="10"/>
      <c r="Q36" s="10"/>
    </row>
    <row r="41" spans="2:17" x14ac:dyDescent="0.2">
      <c r="E41" s="15"/>
      <c r="F41" s="10"/>
      <c r="G41" s="10"/>
      <c r="H41" s="10"/>
      <c r="I41" s="10"/>
      <c r="J4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Returns</vt:lpstr>
      <vt:lpstr>Retirement planning 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2025-03-21T15:09:54Z</dcterms:modified>
</cp:coreProperties>
</file>