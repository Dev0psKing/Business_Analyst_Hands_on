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Course Exam/Data/"/>
    </mc:Choice>
  </mc:AlternateContent>
  <xr:revisionPtr revIDLastSave="453" documentId="8_{12CBE49D-3241-427D-8C9E-A8AEE1742475}" xr6:coauthVersionLast="47" xr6:coauthVersionMax="47" xr10:uidLastSave="{8A917AEF-9BA6-431C-A651-8523136BE63F}"/>
  <bookViews>
    <workbookView xWindow="-28920" yWindow="-3765" windowWidth="29040" windowHeight="15720" activeTab="2" xr2:uid="{00000000-000D-0000-FFFF-FFFF00000000}"/>
  </bookViews>
  <sheets>
    <sheet name="Bonds" sheetId="16" r:id="rId1"/>
    <sheet name="YTM" sheetId="17" r:id="rId2"/>
    <sheet name="BDY" sheetId="18" r:id="rId3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8" l="1"/>
  <c r="J19" i="18" s="1"/>
  <c r="G19" i="18"/>
  <c r="H18" i="18"/>
  <c r="J18" i="18" s="1"/>
  <c r="G18" i="18"/>
  <c r="H17" i="18"/>
  <c r="J17" i="18" s="1"/>
  <c r="G17" i="18"/>
  <c r="I23" i="17"/>
  <c r="O23" i="17" s="1"/>
  <c r="I22" i="17"/>
  <c r="O22" i="17" s="1"/>
  <c r="I21" i="17"/>
  <c r="O21" i="17" s="1"/>
  <c r="I20" i="17"/>
  <c r="O20" i="17" s="1"/>
  <c r="I9" i="16"/>
  <c r="I17" i="16" s="1"/>
  <c r="I20" i="16" s="1"/>
  <c r="F9" i="16"/>
  <c r="F17" i="16" s="1"/>
  <c r="F20" i="16" s="1"/>
  <c r="P22" i="17"/>
  <c r="J22" i="17"/>
  <c r="J21" i="17"/>
  <c r="P21" i="17"/>
  <c r="P23" i="17"/>
  <c r="P20" i="17"/>
  <c r="J23" i="17"/>
  <c r="J20" i="17"/>
  <c r="I18" i="18" l="1"/>
  <c r="I17" i="18"/>
  <c r="I19" i="18"/>
  <c r="C9" i="16"/>
  <c r="C17" i="16" s="1"/>
  <c r="C20" i="16" s="1"/>
</calcChain>
</file>

<file path=xl/sharedStrings.xml><?xml version="1.0" encoding="utf-8"?>
<sst xmlns="http://schemas.openxmlformats.org/spreadsheetml/2006/main" count="72" uniqueCount="30">
  <si>
    <t>Input Data</t>
  </si>
  <si>
    <t>Output</t>
  </si>
  <si>
    <t>Current Yield</t>
  </si>
  <si>
    <t xml:space="preserve">Face Value </t>
  </si>
  <si>
    <t xml:space="preserve">Annual Coupon Rate  </t>
  </si>
  <si>
    <t>Annual Discount Rate</t>
  </si>
  <si>
    <t xml:space="preserve">Coupon Payment </t>
  </si>
  <si>
    <t>Number of Years to Maturity</t>
  </si>
  <si>
    <t>Coupons Per Year</t>
  </si>
  <si>
    <t>Bond Price</t>
  </si>
  <si>
    <t>Bond 1</t>
  </si>
  <si>
    <t>Bond</t>
  </si>
  <si>
    <t>Price</t>
  </si>
  <si>
    <t>Par Value</t>
  </si>
  <si>
    <t>Coupon Rate</t>
  </si>
  <si>
    <t>Time to Maturity (Years)</t>
  </si>
  <si>
    <t>A</t>
  </si>
  <si>
    <t>B</t>
  </si>
  <si>
    <t>C</t>
  </si>
  <si>
    <t>D</t>
  </si>
  <si>
    <t>RATE</t>
  </si>
  <si>
    <t>YTM</t>
  </si>
  <si>
    <t>BDY</t>
  </si>
  <si>
    <t>Time to Maturity (Days)</t>
  </si>
  <si>
    <t>HPY</t>
  </si>
  <si>
    <t>EAY</t>
  </si>
  <si>
    <t>MMY</t>
  </si>
  <si>
    <t>Bonds</t>
  </si>
  <si>
    <t>Bond 2</t>
  </si>
  <si>
    <t>Bond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</si>
</sst>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14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7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/>
      <bottom style="double">
        <color rgb="FF0073B0"/>
      </bottom>
      <diagonal/>
    </border>
    <border>
      <left/>
      <right/>
      <top/>
      <bottom style="medium">
        <color rgb="FF0073B0"/>
      </bottom>
      <diagonal/>
    </border>
    <border>
      <left/>
      <right/>
      <top style="medium">
        <color rgb="FF0073B0"/>
      </top>
      <bottom style="medium">
        <color rgb="FF0073B0"/>
      </bottom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/>
    <xf numFmtId="0" fontId="5" fillId="0" borderId="0" applyNumberForma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8" fillId="2" borderId="0" xfId="10" applyFont="1" applyFill="1" applyAlignment="1">
      <alignment horizontal="left" vertical="center"/>
    </xf>
    <xf numFmtId="0" fontId="9" fillId="2" borderId="0" xfId="4" applyFont="1" applyFill="1"/>
    <xf numFmtId="0" fontId="10" fillId="2" borderId="0" xfId="4" applyFont="1" applyFill="1" applyAlignment="1">
      <alignment horizontal="left" vertical="center"/>
    </xf>
    <xf numFmtId="0" fontId="10" fillId="2" borderId="0" xfId="4" applyFont="1" applyFill="1" applyAlignment="1">
      <alignment horizontal="left" vertical="center" wrapText="1"/>
    </xf>
    <xf numFmtId="49" fontId="11" fillId="2" borderId="1" xfId="4" applyNumberFormat="1" applyFont="1" applyFill="1" applyBorder="1" applyAlignment="1">
      <alignment wrapText="1"/>
    </xf>
    <xf numFmtId="49" fontId="11" fillId="2" borderId="1" xfId="4" applyNumberFormat="1" applyFont="1" applyFill="1" applyBorder="1" applyAlignment="1">
      <alignment horizontal="center" wrapText="1"/>
    </xf>
    <xf numFmtId="0" fontId="9" fillId="2" borderId="1" xfId="4" applyFont="1" applyFill="1" applyBorder="1"/>
    <xf numFmtId="7" fontId="9" fillId="2" borderId="1" xfId="4" applyNumberFormat="1" applyFont="1" applyFill="1" applyBorder="1"/>
    <xf numFmtId="49" fontId="11" fillId="2" borderId="0" xfId="4" applyNumberFormat="1" applyFont="1" applyFill="1" applyAlignment="1">
      <alignment wrapText="1"/>
    </xf>
    <xf numFmtId="8" fontId="11" fillId="2" borderId="0" xfId="4" applyNumberFormat="1" applyFont="1" applyFill="1" applyAlignment="1">
      <alignment horizontal="right" wrapText="1"/>
    </xf>
    <xf numFmtId="7" fontId="9" fillId="2" borderId="0" xfId="4" applyNumberFormat="1" applyFont="1" applyFill="1"/>
    <xf numFmtId="9" fontId="9" fillId="2" borderId="0" xfId="4" applyNumberFormat="1" applyFont="1" applyFill="1" applyAlignment="1">
      <alignment horizontal="right"/>
    </xf>
    <xf numFmtId="8" fontId="9" fillId="2" borderId="0" xfId="4" applyNumberFormat="1" applyFont="1" applyFill="1" applyAlignment="1">
      <alignment horizontal="right"/>
    </xf>
    <xf numFmtId="0" fontId="9" fillId="2" borderId="0" xfId="4" applyFont="1" applyFill="1" applyAlignment="1">
      <alignment horizontal="right"/>
    </xf>
    <xf numFmtId="49" fontId="11" fillId="2" borderId="0" xfId="4" applyNumberFormat="1" applyFont="1" applyFill="1" applyAlignment="1">
      <alignment horizontal="center" wrapText="1"/>
    </xf>
    <xf numFmtId="8" fontId="12" fillId="3" borderId="2" xfId="11" applyNumberFormat="1" applyFont="1" applyFill="1" applyBorder="1"/>
    <xf numFmtId="8" fontId="9" fillId="2" borderId="0" xfId="4" applyNumberFormat="1" applyFont="1" applyFill="1"/>
    <xf numFmtId="10" fontId="12" fillId="3" borderId="2" xfId="11" applyNumberFormat="1" applyFont="1" applyFill="1" applyBorder="1"/>
    <xf numFmtId="164" fontId="9" fillId="2" borderId="0" xfId="4" applyNumberFormat="1" applyFont="1" applyFill="1" applyAlignment="1">
      <alignment horizontal="right"/>
    </xf>
    <xf numFmtId="0" fontId="9" fillId="2" borderId="0" xfId="4" applyFont="1" applyFill="1" applyAlignment="1">
      <alignment horizontal="center" vertical="center"/>
    </xf>
    <xf numFmtId="9" fontId="9" fillId="2" borderId="0" xfId="4" applyNumberFormat="1" applyFont="1" applyFill="1" applyAlignment="1">
      <alignment horizontal="center" vertical="center"/>
    </xf>
    <xf numFmtId="10" fontId="9" fillId="2" borderId="0" xfId="4" applyNumberFormat="1" applyFont="1" applyFill="1" applyAlignment="1">
      <alignment horizontal="center" vertical="center"/>
    </xf>
    <xf numFmtId="10" fontId="12" fillId="3" borderId="2" xfId="11" applyNumberFormat="1" applyFont="1" applyFill="1" applyBorder="1" applyAlignment="1">
      <alignment horizontal="center" vertical="center"/>
    </xf>
    <xf numFmtId="0" fontId="9" fillId="2" borderId="4" xfId="4" applyFont="1" applyFill="1" applyBorder="1" applyAlignment="1">
      <alignment horizontal="center" vertical="center"/>
    </xf>
    <xf numFmtId="9" fontId="9" fillId="2" borderId="4" xfId="4" applyNumberFormat="1" applyFont="1" applyFill="1" applyBorder="1" applyAlignment="1">
      <alignment horizontal="center" vertical="center"/>
    </xf>
    <xf numFmtId="0" fontId="9" fillId="2" borderId="5" xfId="4" applyFont="1" applyFill="1" applyBorder="1" applyAlignment="1">
      <alignment horizontal="center" vertical="center" wrapText="1"/>
    </xf>
    <xf numFmtId="0" fontId="9" fillId="2" borderId="6" xfId="4" applyFont="1" applyFill="1" applyBorder="1" applyAlignment="1">
      <alignment horizontal="center" vertical="center"/>
    </xf>
    <xf numFmtId="49" fontId="11" fillId="2" borderId="3" xfId="4" applyNumberFormat="1" applyFont="1" applyFill="1" applyBorder="1" applyAlignment="1">
      <alignment horizontal="center" wrapText="1"/>
    </xf>
  </cellXfs>
  <cellStyles count="12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11" xr:uid="{F01EE345-C567-4BE0-B565-0B680C8E5868}"/>
    <cellStyle name="Normal 2" xfId="4" xr:uid="{C8B3C472-5BD2-4D8A-84EF-2D0D0EC7CCA8}"/>
    <cellStyle name="Normal 2 2 2" xfId="2" xr:uid="{EB4610B0-F08F-4ACB-854F-11FB6CF4D53B}"/>
    <cellStyle name="Normal 2 2 2 2" xfId="10" xr:uid="{B06F3DFC-5F50-4BA8-BE17-0CDD13A66FF8}"/>
    <cellStyle name="Normal 3" xfId="8" xr:uid="{DC14AD99-C229-4BAD-86EB-E0E1587C54B6}"/>
    <cellStyle name="Normal 3 2" xfId="9" xr:uid="{3A794228-A49D-4D1A-8404-317B5F9CE324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190500</xdr:colOff>
      <xdr:row>15</xdr:row>
      <xdr:rowOff>8572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23E975-45D5-4A7F-8EB2-8F31C07F59BA}"/>
            </a:ext>
          </a:extLst>
        </xdr:cNvPr>
        <xdr:cNvSpPr txBox="1"/>
      </xdr:nvSpPr>
      <xdr:spPr>
        <a:xfrm>
          <a:off x="7254240" y="195929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190500</xdr:colOff>
      <xdr:row>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A34363-1EB5-4922-9B77-7311F50BCDE7}"/>
            </a:ext>
          </a:extLst>
        </xdr:cNvPr>
        <xdr:cNvSpPr txBox="1"/>
      </xdr:nvSpPr>
      <xdr:spPr>
        <a:xfrm>
          <a:off x="7254240" y="195929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190500</xdr:colOff>
      <xdr:row>17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F9B78C-F54F-4ECB-9B12-C5CFBEED2A80}"/>
            </a:ext>
          </a:extLst>
        </xdr:cNvPr>
        <xdr:cNvSpPr txBox="1"/>
      </xdr:nvSpPr>
      <xdr:spPr>
        <a:xfrm>
          <a:off x="7277100" y="333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F774B1-854B-4042-8D7C-4DBF4FA6C883}"/>
            </a:ext>
          </a:extLst>
        </xdr:cNvPr>
        <xdr:cNvSpPr txBox="1"/>
      </xdr:nvSpPr>
      <xdr:spPr>
        <a:xfrm>
          <a:off x="7254240" y="3276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190500</xdr:colOff>
      <xdr:row>14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372010-5E47-4F57-88C3-9960A63B2861}"/>
            </a:ext>
          </a:extLst>
        </xdr:cNvPr>
        <xdr:cNvSpPr txBox="1"/>
      </xdr:nvSpPr>
      <xdr:spPr>
        <a:xfrm>
          <a:off x="5886450" y="333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F8CF6-5452-474C-B4A2-302648D739F6}">
  <dimension ref="B1:L25"/>
  <sheetViews>
    <sheetView workbookViewId="0">
      <selection activeCell="E29" sqref="E29"/>
    </sheetView>
  </sheetViews>
  <sheetFormatPr defaultRowHeight="11.4" x14ac:dyDescent="0.2"/>
  <cols>
    <col min="1" max="1" width="1.875" style="2" customWidth="1"/>
    <col min="2" max="2" width="28.375" style="2" customWidth="1"/>
    <col min="3" max="3" width="13.125" style="2" customWidth="1"/>
    <col min="4" max="4" width="11.375" style="2" bestFit="1" customWidth="1"/>
    <col min="5" max="5" width="28.5" style="2" customWidth="1"/>
    <col min="6" max="7" width="11.375" style="2" bestFit="1" customWidth="1"/>
    <col min="8" max="8" width="29.875" style="2" customWidth="1"/>
    <col min="9" max="9" width="16.5" style="2" customWidth="1"/>
    <col min="10" max="16384" width="9" style="2"/>
  </cols>
  <sheetData>
    <row r="1" spans="2:12" ht="13.2" customHeight="1" x14ac:dyDescent="0.2">
      <c r="B1" s="1" t="s">
        <v>27</v>
      </c>
      <c r="E1" s="3"/>
      <c r="F1" s="4"/>
      <c r="G1" s="3"/>
    </row>
    <row r="2" spans="2:12" ht="12.75" customHeight="1" x14ac:dyDescent="0.2"/>
    <row r="3" spans="2:12" ht="12" thickBot="1" x14ac:dyDescent="0.25">
      <c r="B3" s="5" t="s">
        <v>0</v>
      </c>
      <c r="C3" s="6"/>
      <c r="D3" s="7"/>
      <c r="E3" s="7"/>
      <c r="F3" s="8"/>
      <c r="G3" s="7"/>
      <c r="H3" s="7"/>
      <c r="I3" s="7"/>
      <c r="J3" s="7"/>
      <c r="K3" s="7"/>
      <c r="L3" s="7"/>
    </row>
    <row r="4" spans="2:12" ht="12" thickTop="1" x14ac:dyDescent="0.2">
      <c r="B4" s="9"/>
      <c r="C4" s="15"/>
      <c r="F4" s="11"/>
    </row>
    <row r="5" spans="2:12" ht="12" thickBot="1" x14ac:dyDescent="0.25">
      <c r="B5" s="28" t="s">
        <v>10</v>
      </c>
      <c r="C5" s="28"/>
      <c r="E5" s="28" t="s">
        <v>28</v>
      </c>
      <c r="F5" s="28"/>
      <c r="H5" s="28" t="s">
        <v>29</v>
      </c>
      <c r="I5" s="28"/>
    </row>
    <row r="6" spans="2:12" ht="12" thickTop="1" x14ac:dyDescent="0.2">
      <c r="B6" s="9" t="s">
        <v>3</v>
      </c>
      <c r="C6" s="10">
        <v>1000</v>
      </c>
      <c r="E6" s="9" t="s">
        <v>3</v>
      </c>
      <c r="F6" s="10">
        <v>1000</v>
      </c>
      <c r="H6" s="9" t="s">
        <v>3</v>
      </c>
      <c r="I6" s="10">
        <v>1000</v>
      </c>
    </row>
    <row r="7" spans="2:12" x14ac:dyDescent="0.2">
      <c r="B7" s="2" t="s">
        <v>4</v>
      </c>
      <c r="C7" s="19">
        <v>0.05</v>
      </c>
      <c r="E7" s="2" t="s">
        <v>4</v>
      </c>
      <c r="F7" s="19">
        <v>0.04</v>
      </c>
      <c r="H7" s="2" t="s">
        <v>4</v>
      </c>
      <c r="I7" s="19">
        <v>0.08</v>
      </c>
    </row>
    <row r="8" spans="2:12" x14ac:dyDescent="0.2">
      <c r="B8" s="2" t="s">
        <v>5</v>
      </c>
      <c r="C8" s="12">
        <v>0.05</v>
      </c>
      <c r="E8" s="2" t="s">
        <v>5</v>
      </c>
      <c r="F8" s="12">
        <v>0.05</v>
      </c>
      <c r="H8" s="2" t="s">
        <v>5</v>
      </c>
      <c r="I8" s="12">
        <v>0.05</v>
      </c>
    </row>
    <row r="9" spans="2:12" x14ac:dyDescent="0.2">
      <c r="B9" s="2" t="s">
        <v>6</v>
      </c>
      <c r="C9" s="13">
        <f>(C7*C6)/C11</f>
        <v>50</v>
      </c>
      <c r="E9" s="2" t="s">
        <v>6</v>
      </c>
      <c r="F9" s="13">
        <f>(F7*F6)/F11</f>
        <v>40</v>
      </c>
      <c r="H9" s="2" t="s">
        <v>6</v>
      </c>
      <c r="I9" s="13">
        <f>(I7*I6)/I11</f>
        <v>20</v>
      </c>
    </row>
    <row r="10" spans="2:12" x14ac:dyDescent="0.2">
      <c r="B10" s="2" t="s">
        <v>7</v>
      </c>
      <c r="C10" s="14">
        <v>4</v>
      </c>
      <c r="E10" s="2" t="s">
        <v>7</v>
      </c>
      <c r="F10" s="14">
        <v>3</v>
      </c>
      <c r="H10" s="2" t="s">
        <v>7</v>
      </c>
      <c r="I10" s="14">
        <v>2</v>
      </c>
    </row>
    <row r="11" spans="2:12" x14ac:dyDescent="0.2">
      <c r="B11" s="2" t="s">
        <v>8</v>
      </c>
      <c r="C11" s="14">
        <v>1</v>
      </c>
      <c r="E11" s="2" t="s">
        <v>8</v>
      </c>
      <c r="F11" s="14">
        <v>1</v>
      </c>
      <c r="H11" s="2" t="s">
        <v>8</v>
      </c>
      <c r="I11" s="14">
        <v>4</v>
      </c>
    </row>
    <row r="14" spans="2:12" ht="12" thickBot="1" x14ac:dyDescent="0.25">
      <c r="B14" s="5" t="s">
        <v>1</v>
      </c>
      <c r="C14" s="6"/>
      <c r="D14" s="7"/>
      <c r="E14" s="7"/>
      <c r="F14" s="8"/>
      <c r="G14" s="7"/>
      <c r="H14" s="7"/>
      <c r="I14" s="7"/>
      <c r="J14" s="7"/>
      <c r="K14" s="7"/>
      <c r="L14" s="7"/>
    </row>
    <row r="15" spans="2:12" ht="12" thickTop="1" x14ac:dyDescent="0.2">
      <c r="B15" s="9"/>
      <c r="C15" s="15"/>
      <c r="F15" s="11"/>
    </row>
    <row r="17" spans="2:9" x14ac:dyDescent="0.2">
      <c r="B17" s="2" t="s">
        <v>9</v>
      </c>
      <c r="C17" s="16">
        <f>-PV(C8/C11,C10*C11,C9,C6)</f>
        <v>999.99999999999989</v>
      </c>
      <c r="F17" s="16">
        <f>-PV(F8/F11,F10*F11,F9,F6)</f>
        <v>972.76751970629527</v>
      </c>
      <c r="I17" s="16">
        <f>-PV(I8/I11,I10*I11,I9,I6)</f>
        <v>1056.760932203483</v>
      </c>
    </row>
    <row r="20" spans="2:9" x14ac:dyDescent="0.2">
      <c r="B20" s="2" t="s">
        <v>2</v>
      </c>
      <c r="C20" s="18">
        <f>(C6*C7)/C17</f>
        <v>0.05</v>
      </c>
      <c r="F20" s="18">
        <f>(F6*F7)/F17</f>
        <v>4.1119793979220318E-2</v>
      </c>
      <c r="I20" s="18">
        <f>(I6*I7)/I17</f>
        <v>7.5703025691146314E-2</v>
      </c>
    </row>
    <row r="25" spans="2:9" x14ac:dyDescent="0.2">
      <c r="C25" s="17"/>
    </row>
  </sheetData>
  <mergeCells count="3">
    <mergeCell ref="B5:C5"/>
    <mergeCell ref="E5:F5"/>
    <mergeCell ref="H5:I5"/>
  </mergeCells>
  <phoneticPr fontId="13" type="noConversion"/>
  <dataValidations count="1">
    <dataValidation type="list" allowBlank="1" showInputMessage="1" showErrorMessage="1" sqref="C11 F11 I11" xr:uid="{0D3E02CF-2375-43A7-8C45-30C3D3C5356F}">
      <formula1>"12,4,2,1"</formula1>
    </dataValidation>
  </dataValidations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539E-49D2-4068-82CA-4E931C40AB51}">
  <dimension ref="B1:P23"/>
  <sheetViews>
    <sheetView workbookViewId="0"/>
  </sheetViews>
  <sheetFormatPr defaultRowHeight="11.4" x14ac:dyDescent="0.2"/>
  <cols>
    <col min="1" max="1" width="1.875" style="2" customWidth="1"/>
    <col min="2" max="2" width="28.375" style="2" customWidth="1"/>
    <col min="3" max="3" width="13.125" style="2" customWidth="1"/>
    <col min="4" max="7" width="11.375" style="2" bestFit="1" customWidth="1"/>
    <col min="8" max="16384" width="9" style="2"/>
  </cols>
  <sheetData>
    <row r="1" spans="2:16" ht="13.2" customHeight="1" x14ac:dyDescent="0.2">
      <c r="B1" s="1" t="s">
        <v>21</v>
      </c>
      <c r="E1" s="3"/>
      <c r="F1" s="4"/>
      <c r="G1" s="3"/>
    </row>
    <row r="2" spans="2:16" ht="12.75" customHeight="1" x14ac:dyDescent="0.2"/>
    <row r="3" spans="2:16" ht="12.75" customHeight="1" x14ac:dyDescent="0.2"/>
    <row r="4" spans="2:16" ht="12.75" customHeight="1" thickBot="1" x14ac:dyDescent="0.25">
      <c r="B4" s="5" t="s">
        <v>0</v>
      </c>
      <c r="C4" s="6"/>
      <c r="D4" s="7"/>
      <c r="E4" s="7"/>
      <c r="F4" s="8"/>
      <c r="G4" s="7"/>
      <c r="H4" s="7"/>
      <c r="I4" s="7"/>
      <c r="J4" s="7"/>
      <c r="K4" s="7"/>
      <c r="L4" s="7"/>
    </row>
    <row r="5" spans="2:16" ht="12.75" customHeight="1" thickTop="1" x14ac:dyDescent="0.2"/>
    <row r="6" spans="2:16" ht="12" thickBot="1" x14ac:dyDescent="0.25"/>
    <row r="7" spans="2:16" ht="34.799999999999997" thickBot="1" x14ac:dyDescent="0.25">
      <c r="B7" s="26" t="s">
        <v>11</v>
      </c>
      <c r="C7" s="26" t="s">
        <v>12</v>
      </c>
      <c r="D7" s="26" t="s">
        <v>13</v>
      </c>
      <c r="E7" s="26" t="s">
        <v>14</v>
      </c>
      <c r="F7" s="26" t="s">
        <v>15</v>
      </c>
      <c r="G7" s="26" t="s">
        <v>8</v>
      </c>
      <c r="H7" s="20"/>
      <c r="I7" s="20"/>
      <c r="P7" s="20"/>
    </row>
    <row r="8" spans="2:16" x14ac:dyDescent="0.2">
      <c r="B8" s="20" t="s">
        <v>16</v>
      </c>
      <c r="C8" s="20">
        <v>105</v>
      </c>
      <c r="D8" s="20">
        <v>100</v>
      </c>
      <c r="E8" s="21">
        <v>7.0000000000000007E-2</v>
      </c>
      <c r="F8" s="20">
        <v>5</v>
      </c>
      <c r="G8" s="20">
        <v>4</v>
      </c>
      <c r="H8" s="20"/>
      <c r="I8" s="22"/>
      <c r="P8" s="22"/>
    </row>
    <row r="9" spans="2:16" x14ac:dyDescent="0.2">
      <c r="B9" s="20" t="s">
        <v>17</v>
      </c>
      <c r="C9" s="20">
        <v>100</v>
      </c>
      <c r="D9" s="20">
        <v>100</v>
      </c>
      <c r="E9" s="21">
        <v>0.05</v>
      </c>
      <c r="F9" s="20">
        <v>5</v>
      </c>
      <c r="G9" s="20">
        <v>4</v>
      </c>
      <c r="H9" s="20"/>
      <c r="I9" s="22"/>
      <c r="P9" s="22"/>
    </row>
    <row r="10" spans="2:16" x14ac:dyDescent="0.2">
      <c r="B10" s="20" t="s">
        <v>18</v>
      </c>
      <c r="C10" s="20">
        <v>96.36</v>
      </c>
      <c r="D10" s="20">
        <v>100</v>
      </c>
      <c r="E10" s="21">
        <v>0.04</v>
      </c>
      <c r="F10" s="20">
        <v>2</v>
      </c>
      <c r="G10" s="20">
        <v>2</v>
      </c>
      <c r="H10" s="20"/>
      <c r="I10" s="22"/>
      <c r="P10" s="22"/>
    </row>
    <row r="11" spans="2:16" ht="12" thickBot="1" x14ac:dyDescent="0.25">
      <c r="B11" s="24" t="s">
        <v>19</v>
      </c>
      <c r="C11" s="24">
        <v>94.1</v>
      </c>
      <c r="D11" s="24">
        <v>100</v>
      </c>
      <c r="E11" s="25">
        <v>0.03</v>
      </c>
      <c r="F11" s="24">
        <v>3</v>
      </c>
      <c r="G11" s="24">
        <v>12</v>
      </c>
      <c r="H11" s="20"/>
      <c r="I11" s="22"/>
      <c r="P11" s="22"/>
    </row>
    <row r="15" spans="2:16" ht="12" thickBot="1" x14ac:dyDescent="0.25">
      <c r="B15" s="5" t="s">
        <v>1</v>
      </c>
      <c r="C15" s="6"/>
      <c r="D15" s="7"/>
      <c r="E15" s="7"/>
      <c r="F15" s="8"/>
      <c r="G15" s="7"/>
      <c r="H15" s="7"/>
      <c r="I15" s="7"/>
      <c r="J15" s="7"/>
      <c r="K15" s="7"/>
      <c r="L15" s="7"/>
    </row>
    <row r="16" spans="2:16" ht="12" thickTop="1" x14ac:dyDescent="0.2"/>
    <row r="18" spans="2:16" ht="12" thickBot="1" x14ac:dyDescent="0.25"/>
    <row r="19" spans="2:16" ht="34.799999999999997" thickBot="1" x14ac:dyDescent="0.25">
      <c r="B19" s="26" t="s">
        <v>11</v>
      </c>
      <c r="C19" s="26" t="s">
        <v>12</v>
      </c>
      <c r="D19" s="26" t="s">
        <v>13</v>
      </c>
      <c r="E19" s="26" t="s">
        <v>14</v>
      </c>
      <c r="F19" s="26" t="s">
        <v>15</v>
      </c>
      <c r="G19" s="26" t="s">
        <v>8</v>
      </c>
      <c r="H19" s="20"/>
      <c r="I19" s="20" t="s">
        <v>20</v>
      </c>
      <c r="O19" s="20" t="s">
        <v>21</v>
      </c>
    </row>
    <row r="20" spans="2:16" x14ac:dyDescent="0.2">
      <c r="B20" s="20" t="s">
        <v>16</v>
      </c>
      <c r="C20" s="20">
        <v>105</v>
      </c>
      <c r="D20" s="20">
        <v>100</v>
      </c>
      <c r="E20" s="21">
        <v>7.0000000000000007E-2</v>
      </c>
      <c r="F20" s="20">
        <v>5</v>
      </c>
      <c r="G20" s="20">
        <v>4</v>
      </c>
      <c r="H20" s="20"/>
      <c r="I20" s="23">
        <f>RATE(F20*G20,(E20*D20)/G20,-C20,D20)</f>
        <v>1.4599206555318359E-2</v>
      </c>
      <c r="J20" s="2" t="str">
        <f ca="1">_xlfn.FORMULATEXT(I20)</f>
        <v>=RATE(F20*G20,(E20*D20)/G20,-C20,D20)</v>
      </c>
      <c r="O20" s="23">
        <f>I20*G20</f>
        <v>5.8396826221273436E-2</v>
      </c>
      <c r="P20" s="2" t="str">
        <f ca="1">_xlfn.FORMULATEXT(O20)</f>
        <v>=I20*G20</v>
      </c>
    </row>
    <row r="21" spans="2:16" x14ac:dyDescent="0.2">
      <c r="B21" s="20" t="s">
        <v>17</v>
      </c>
      <c r="C21" s="20">
        <v>100</v>
      </c>
      <c r="D21" s="20">
        <v>100</v>
      </c>
      <c r="E21" s="21">
        <v>0.05</v>
      </c>
      <c r="F21" s="20">
        <v>5</v>
      </c>
      <c r="G21" s="20">
        <v>4</v>
      </c>
      <c r="H21" s="20"/>
      <c r="I21" s="23">
        <f t="shared" ref="I21:I23" si="0">RATE(F21*G21,(E21*D21)/G21,-C21,D21)</f>
        <v>1.2500000000076873E-2</v>
      </c>
      <c r="J21" s="2" t="str">
        <f t="shared" ref="J21:J23" ca="1" si="1">_xlfn.FORMULATEXT(I21)</f>
        <v>=RATE(F21*G21,(E21*D21)/G21,-C21,D21)</v>
      </c>
      <c r="O21" s="23">
        <f>I21*G21</f>
        <v>5.0000000000307493E-2</v>
      </c>
      <c r="P21" s="2" t="str">
        <f t="shared" ref="P21:P23" ca="1" si="2">_xlfn.FORMULATEXT(O21)</f>
        <v>=I21*G21</v>
      </c>
    </row>
    <row r="22" spans="2:16" x14ac:dyDescent="0.2">
      <c r="B22" s="20" t="s">
        <v>18</v>
      </c>
      <c r="C22" s="20">
        <v>96.36</v>
      </c>
      <c r="D22" s="20">
        <v>100</v>
      </c>
      <c r="E22" s="21">
        <v>0.04</v>
      </c>
      <c r="F22" s="20">
        <v>2</v>
      </c>
      <c r="G22" s="20">
        <v>2</v>
      </c>
      <c r="H22" s="20"/>
      <c r="I22" s="23">
        <f t="shared" si="0"/>
        <v>2.9787611385924624E-2</v>
      </c>
      <c r="J22" s="2" t="str">
        <f t="shared" ca="1" si="1"/>
        <v>=RATE(F22*G22,(E22*D22)/G22,-C22,D22)</v>
      </c>
      <c r="O22" s="23">
        <f>I22*G22</f>
        <v>5.9575222771849248E-2</v>
      </c>
      <c r="P22" s="2" t="str">
        <f t="shared" ca="1" si="2"/>
        <v>=I22*G22</v>
      </c>
    </row>
    <row r="23" spans="2:16" ht="12" thickBot="1" x14ac:dyDescent="0.25">
      <c r="B23" s="24" t="s">
        <v>19</v>
      </c>
      <c r="C23" s="24">
        <v>94.1</v>
      </c>
      <c r="D23" s="24">
        <v>100</v>
      </c>
      <c r="E23" s="25">
        <v>0.03</v>
      </c>
      <c r="F23" s="24">
        <v>3</v>
      </c>
      <c r="G23" s="24">
        <v>12</v>
      </c>
      <c r="H23" s="20"/>
      <c r="I23" s="23">
        <f t="shared" si="0"/>
        <v>4.2716211244147023E-3</v>
      </c>
      <c r="J23" s="2" t="str">
        <f t="shared" ca="1" si="1"/>
        <v>=RATE(F23*G23,(E23*D23)/G23,-C23,D23)</v>
      </c>
      <c r="O23" s="23">
        <f>I23*G23</f>
        <v>5.1259453492976427E-2</v>
      </c>
      <c r="P23" s="2" t="str">
        <f t="shared" ca="1" si="2"/>
        <v>=I23*G23</v>
      </c>
    </row>
  </sheetData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D7D9-24A8-4C52-BF12-F9BB8D36E4D3}">
  <dimension ref="B1:N19"/>
  <sheetViews>
    <sheetView tabSelected="1" workbookViewId="0"/>
  </sheetViews>
  <sheetFormatPr defaultRowHeight="11.4" x14ac:dyDescent="0.2"/>
  <cols>
    <col min="1" max="1" width="1.875" style="2" customWidth="1"/>
    <col min="2" max="2" width="28.375" style="2" customWidth="1"/>
    <col min="3" max="3" width="13.125" style="2" customWidth="1"/>
    <col min="4" max="5" width="11.375" style="2" bestFit="1" customWidth="1"/>
    <col min="6" max="16384" width="9" style="2"/>
  </cols>
  <sheetData>
    <row r="1" spans="2:14" ht="13.2" customHeight="1" x14ac:dyDescent="0.2">
      <c r="B1" s="1" t="s">
        <v>22</v>
      </c>
      <c r="E1" s="4"/>
    </row>
    <row r="2" spans="2:14" ht="12.75" customHeight="1" x14ac:dyDescent="0.2"/>
    <row r="3" spans="2:14" ht="12.75" customHeight="1" x14ac:dyDescent="0.2"/>
    <row r="4" spans="2:14" ht="12.75" customHeight="1" thickBot="1" x14ac:dyDescent="0.25">
      <c r="B4" s="5" t="s">
        <v>0</v>
      </c>
      <c r="C4" s="6"/>
      <c r="D4" s="7"/>
      <c r="E4" s="7"/>
      <c r="F4" s="8"/>
      <c r="G4" s="7"/>
      <c r="H4" s="7"/>
      <c r="I4" s="7"/>
      <c r="J4" s="7"/>
      <c r="K4" s="7"/>
      <c r="L4" s="7"/>
    </row>
    <row r="5" spans="2:14" ht="12.6" thickTop="1" thickBot="1" x14ac:dyDescent="0.25"/>
    <row r="6" spans="2:14" ht="34.799999999999997" thickBot="1" x14ac:dyDescent="0.25">
      <c r="B6" s="26" t="s">
        <v>11</v>
      </c>
      <c r="C6" s="26" t="s">
        <v>12</v>
      </c>
      <c r="D6" s="26" t="s">
        <v>13</v>
      </c>
      <c r="E6" s="26" t="s">
        <v>23</v>
      </c>
      <c r="F6" s="20"/>
      <c r="N6" s="20"/>
    </row>
    <row r="7" spans="2:14" x14ac:dyDescent="0.2">
      <c r="B7" s="20" t="s">
        <v>16</v>
      </c>
      <c r="C7" s="20">
        <v>980</v>
      </c>
      <c r="D7" s="20">
        <v>1000</v>
      </c>
      <c r="E7" s="20">
        <v>100</v>
      </c>
      <c r="F7" s="20"/>
      <c r="N7" s="22"/>
    </row>
    <row r="8" spans="2:14" x14ac:dyDescent="0.2">
      <c r="B8" s="20" t="s">
        <v>17</v>
      </c>
      <c r="C8" s="20">
        <v>970</v>
      </c>
      <c r="D8" s="20">
        <v>1000</v>
      </c>
      <c r="E8" s="20">
        <v>120</v>
      </c>
      <c r="F8" s="20"/>
      <c r="N8" s="22"/>
    </row>
    <row r="9" spans="2:14" x14ac:dyDescent="0.2">
      <c r="B9" s="20" t="s">
        <v>18</v>
      </c>
      <c r="C9" s="20">
        <v>965</v>
      </c>
      <c r="D9" s="20">
        <v>1000</v>
      </c>
      <c r="E9" s="20">
        <v>150</v>
      </c>
      <c r="F9" s="20"/>
      <c r="N9" s="22"/>
    </row>
    <row r="12" spans="2:14" ht="12" thickBot="1" x14ac:dyDescent="0.25">
      <c r="B12" s="5" t="s">
        <v>1</v>
      </c>
      <c r="C12" s="6"/>
      <c r="D12" s="7"/>
      <c r="E12" s="7"/>
      <c r="F12" s="8"/>
      <c r="G12" s="7"/>
      <c r="H12" s="7"/>
      <c r="I12" s="7"/>
      <c r="J12" s="7"/>
      <c r="K12" s="7"/>
      <c r="L12" s="7"/>
    </row>
    <row r="13" spans="2:14" ht="12" thickTop="1" x14ac:dyDescent="0.2"/>
    <row r="15" spans="2:14" ht="12" thickBot="1" x14ac:dyDescent="0.25"/>
    <row r="16" spans="2:14" ht="34.799999999999997" thickBot="1" x14ac:dyDescent="0.25">
      <c r="B16" s="26" t="s">
        <v>11</v>
      </c>
      <c r="C16" s="26" t="s">
        <v>12</v>
      </c>
      <c r="D16" s="26" t="s">
        <v>13</v>
      </c>
      <c r="E16" s="26" t="s">
        <v>23</v>
      </c>
      <c r="F16" s="20"/>
      <c r="G16" s="27" t="s">
        <v>22</v>
      </c>
      <c r="H16" s="27" t="s">
        <v>24</v>
      </c>
      <c r="I16" s="27" t="s">
        <v>25</v>
      </c>
      <c r="J16" s="27" t="s">
        <v>26</v>
      </c>
    </row>
    <row r="17" spans="2:10" x14ac:dyDescent="0.2">
      <c r="B17" s="20" t="s">
        <v>16</v>
      </c>
      <c r="C17" s="20">
        <v>980</v>
      </c>
      <c r="D17" s="20">
        <v>1000</v>
      </c>
      <c r="E17" s="20">
        <v>100</v>
      </c>
      <c r="F17" s="20"/>
      <c r="G17" s="23">
        <f>(D17-C17)/D17*(360/E17)</f>
        <v>7.2000000000000008E-2</v>
      </c>
      <c r="H17" s="23">
        <f>(D17-C17)/C17</f>
        <v>2.0408163265306121E-2</v>
      </c>
      <c r="I17" s="23">
        <f>(1+H17)^(365/E17)-1</f>
        <v>7.6526744776215905E-2</v>
      </c>
      <c r="J17" s="23">
        <f>H17*(360/E17)</f>
        <v>7.3469387755102034E-2</v>
      </c>
    </row>
    <row r="18" spans="2:10" x14ac:dyDescent="0.2">
      <c r="B18" s="20" t="s">
        <v>17</v>
      </c>
      <c r="C18" s="20">
        <v>970</v>
      </c>
      <c r="D18" s="20">
        <v>1000</v>
      </c>
      <c r="E18" s="20">
        <v>120</v>
      </c>
      <c r="F18" s="20"/>
      <c r="G18" s="23">
        <f t="shared" ref="G18:G19" si="0">(D18-C18)/D18*(360/E18)</f>
        <v>0.09</v>
      </c>
      <c r="H18" s="23">
        <f t="shared" ref="H18:H19" si="1">(D18-C18)/C18</f>
        <v>3.0927835051546393E-2</v>
      </c>
      <c r="I18" s="23">
        <f t="shared" ref="I18:I19" si="2">(1+H18)^(365/E18)-1</f>
        <v>9.7074132067134222E-2</v>
      </c>
      <c r="J18" s="23">
        <f t="shared" ref="J18:J19" si="3">H18*(360/E18)</f>
        <v>9.2783505154639179E-2</v>
      </c>
    </row>
    <row r="19" spans="2:10" x14ac:dyDescent="0.2">
      <c r="B19" s="20" t="s">
        <v>18</v>
      </c>
      <c r="C19" s="20">
        <v>965</v>
      </c>
      <c r="D19" s="20">
        <v>1000</v>
      </c>
      <c r="E19" s="20">
        <v>150</v>
      </c>
      <c r="F19" s="20"/>
      <c r="G19" s="23">
        <f t="shared" si="0"/>
        <v>8.4000000000000005E-2</v>
      </c>
      <c r="H19" s="23">
        <f t="shared" si="1"/>
        <v>3.6269430051813469E-2</v>
      </c>
      <c r="I19" s="23">
        <f t="shared" si="2"/>
        <v>9.0561606562878705E-2</v>
      </c>
      <c r="J19" s="23">
        <f t="shared" si="3"/>
        <v>8.7046632124352319E-2</v>
      </c>
    </row>
  </sheetData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Bonds</vt:lpstr>
      <vt:lpstr>YTM</vt:lpstr>
      <vt:lpstr>BDY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2023-01-24T16:37:09Z</dcterms:modified>
</cp:coreProperties>
</file>