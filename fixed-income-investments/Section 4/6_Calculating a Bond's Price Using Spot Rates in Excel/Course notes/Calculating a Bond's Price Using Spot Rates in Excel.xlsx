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22_Introduction to Fixed Income Investments/Texts/_Recordings/"/>
    </mc:Choice>
  </mc:AlternateContent>
  <xr:revisionPtr revIDLastSave="160" documentId="13_ncr:1_{FECF83D0-4C1E-4EFE-9BE6-F64B6AAF5E84}" xr6:coauthVersionLast="47" xr6:coauthVersionMax="47" xr10:uidLastSave="{A0B04B82-6CAC-4E3C-B442-5B94E2919E3A}"/>
  <bookViews>
    <workbookView xWindow="-108" yWindow="-108" windowWidth="23256" windowHeight="13176" xr2:uid="{00000000-000D-0000-FFFF-FFFF00000000}"/>
  </bookViews>
  <sheets>
    <sheet name="Example 1" sheetId="3" r:id="rId1"/>
    <sheet name="Example 2" sheetId="4" r:id="rId2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3" l="1"/>
  <c r="C15" i="3"/>
  <c r="F14" i="3"/>
  <c r="E14" i="3"/>
  <c r="D14" i="3"/>
  <c r="F12" i="3"/>
  <c r="E12" i="3"/>
  <c r="D12" i="3"/>
  <c r="C7" i="3"/>
  <c r="L13" i="4"/>
  <c r="K13" i="4"/>
  <c r="J13" i="4"/>
  <c r="F13" i="4"/>
  <c r="E13" i="4"/>
  <c r="D13" i="4"/>
</calcChain>
</file>

<file path=xl/sharedStrings.xml><?xml version="1.0" encoding="utf-8"?>
<sst xmlns="http://schemas.openxmlformats.org/spreadsheetml/2006/main" count="39" uniqueCount="18">
  <si>
    <t>Timeline</t>
  </si>
  <si>
    <t>Input Data</t>
  </si>
  <si>
    <t>Output</t>
  </si>
  <si>
    <t>Period</t>
  </si>
  <si>
    <t>Cash Flows</t>
  </si>
  <si>
    <t>PV of Cash Flow</t>
  </si>
  <si>
    <t>Face Value (F)</t>
  </si>
  <si>
    <t>Coupon Payment (PMT)</t>
  </si>
  <si>
    <t>Number of Period to Maturity (T)</t>
  </si>
  <si>
    <t>Spot Rate</t>
  </si>
  <si>
    <t>Bond's Price (PV)</t>
  </si>
  <si>
    <t>Spot Rates</t>
  </si>
  <si>
    <t>BOND A</t>
  </si>
  <si>
    <t>BOND B</t>
  </si>
  <si>
    <t>Bond's Price (PV using spot rates)</t>
  </si>
  <si>
    <t>YTM</t>
  </si>
  <si>
    <t>Bond's Price (PV using YTM)</t>
  </si>
  <si>
    <t>Face Value (FV)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</si>
</sst>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_);\(&quot;$&quot;#,##0.000\)"/>
    <numFmt numFmtId="165" formatCode="&quot;$&quot;#,##0.000_);[Red]\(&quot;$&quot;#,##0.000\)"/>
    <numFmt numFmtId="166" formatCode="0.0%"/>
    <numFmt numFmtId="167" formatCode="_(* #,##0.000_);_(* \(#,##0.000\);_(* &quot;-&quot;??_);_(@_)"/>
  </numFmts>
  <fonts count="16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73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5" fillId="0" borderId="0" applyFont="0" applyFill="0" applyBorder="0" applyAlignment="0" applyProtection="0"/>
  </cellStyleXfs>
  <cellXfs count="38">
    <xf numFmtId="0" fontId="0" fillId="0" borderId="0" xfId="0"/>
    <xf numFmtId="49" fontId="6" fillId="3" borderId="1" xfId="4" applyNumberFormat="1" applyFont="1" applyFill="1" applyBorder="1" applyAlignment="1">
      <alignment horizontal="center" wrapText="1"/>
    </xf>
    <xf numFmtId="0" fontId="7" fillId="3" borderId="0" xfId="4" applyFont="1" applyFill="1"/>
    <xf numFmtId="7" fontId="7" fillId="3" borderId="0" xfId="4" applyNumberFormat="1" applyFont="1" applyFill="1"/>
    <xf numFmtId="0" fontId="8" fillId="3" borderId="0" xfId="4" applyFont="1" applyFill="1"/>
    <xf numFmtId="0" fontId="7" fillId="3" borderId="1" xfId="4" applyFont="1" applyFill="1" applyBorder="1"/>
    <xf numFmtId="0" fontId="7" fillId="3" borderId="0" xfId="4" applyFont="1" applyFill="1" applyAlignment="1">
      <alignment wrapText="1"/>
    </xf>
    <xf numFmtId="8" fontId="7" fillId="3" borderId="0" xfId="4" applyNumberFormat="1" applyFont="1" applyFill="1"/>
    <xf numFmtId="7" fontId="7" fillId="3" borderId="0" xfId="5" applyNumberFormat="1" applyFont="1" applyFill="1" applyBorder="1"/>
    <xf numFmtId="0" fontId="9" fillId="3" borderId="0" xfId="4" applyFont="1" applyFill="1" applyAlignment="1">
      <alignment horizontal="left" vertical="center"/>
    </xf>
    <xf numFmtId="0" fontId="9" fillId="3" borderId="0" xfId="4" applyFont="1" applyFill="1" applyAlignment="1">
      <alignment horizontal="left" vertical="center" wrapText="1"/>
    </xf>
    <xf numFmtId="0" fontId="10" fillId="3" borderId="0" xfId="2" applyFont="1" applyFill="1" applyBorder="1" applyAlignment="1">
      <alignment horizontal="left" vertical="center"/>
    </xf>
    <xf numFmtId="7" fontId="7" fillId="3" borderId="1" xfId="4" applyNumberFormat="1" applyFont="1" applyFill="1" applyBorder="1"/>
    <xf numFmtId="37" fontId="7" fillId="3" borderId="1" xfId="5" applyNumberFormat="1" applyFont="1" applyFill="1" applyBorder="1" applyAlignment="1">
      <alignment vertical="center"/>
    </xf>
    <xf numFmtId="0" fontId="7" fillId="3" borderId="1" xfId="4" applyFont="1" applyFill="1" applyBorder="1" applyAlignment="1">
      <alignment vertical="center"/>
    </xf>
    <xf numFmtId="6" fontId="7" fillId="3" borderId="0" xfId="4" applyNumberFormat="1" applyFont="1" applyFill="1" applyAlignment="1">
      <alignment vertical="center"/>
    </xf>
    <xf numFmtId="7" fontId="7" fillId="3" borderId="0" xfId="4" applyNumberFormat="1" applyFont="1" applyFill="1" applyAlignment="1">
      <alignment vertical="center"/>
    </xf>
    <xf numFmtId="9" fontId="7" fillId="3" borderId="0" xfId="4" applyNumberFormat="1" applyFont="1" applyFill="1" applyAlignment="1">
      <alignment vertical="center"/>
    </xf>
    <xf numFmtId="164" fontId="7" fillId="3" borderId="0" xfId="4" applyNumberFormat="1" applyFont="1" applyFill="1" applyAlignment="1">
      <alignment vertical="center"/>
    </xf>
    <xf numFmtId="49" fontId="12" fillId="3" borderId="1" xfId="4" applyNumberFormat="1" applyFont="1" applyFill="1" applyBorder="1" applyAlignment="1">
      <alignment wrapText="1"/>
    </xf>
    <xf numFmtId="0" fontId="13" fillId="0" borderId="0" xfId="4" applyFont="1" applyFill="1" applyAlignment="1">
      <alignment horizontal="center"/>
    </xf>
    <xf numFmtId="0" fontId="7" fillId="0" borderId="0" xfId="4" applyFont="1" applyFill="1"/>
    <xf numFmtId="166" fontId="7" fillId="3" borderId="0" xfId="4" applyNumberFormat="1" applyFont="1" applyFill="1" applyAlignment="1">
      <alignment vertical="center"/>
    </xf>
    <xf numFmtId="10" fontId="7" fillId="3" borderId="0" xfId="4" applyNumberFormat="1" applyFont="1" applyFill="1" applyAlignment="1">
      <alignment vertical="center"/>
    </xf>
    <xf numFmtId="0" fontId="9" fillId="3" borderId="0" xfId="4" applyFont="1" applyFill="1"/>
    <xf numFmtId="165" fontId="14" fillId="4" borderId="2" xfId="8" applyNumberFormat="1" applyFont="1" applyFill="1" applyBorder="1"/>
    <xf numFmtId="8" fontId="9" fillId="3" borderId="0" xfId="4" applyNumberFormat="1" applyFont="1" applyFill="1"/>
    <xf numFmtId="49" fontId="6" fillId="5" borderId="0" xfId="4" applyNumberFormat="1" applyFont="1" applyFill="1" applyAlignment="1">
      <alignment wrapText="1"/>
    </xf>
    <xf numFmtId="8" fontId="6" fillId="5" borderId="0" xfId="4" applyNumberFormat="1" applyFont="1" applyFill="1" applyAlignment="1">
      <alignment horizontal="right" wrapText="1"/>
    </xf>
    <xf numFmtId="0" fontId="7" fillId="5" borderId="0" xfId="4" applyFont="1" applyFill="1"/>
    <xf numFmtId="8" fontId="7" fillId="5" borderId="0" xfId="4" applyNumberFormat="1" applyFont="1" applyFill="1" applyAlignment="1">
      <alignment horizontal="right"/>
    </xf>
    <xf numFmtId="0" fontId="7" fillId="5" borderId="0" xfId="4" applyFont="1" applyFill="1" applyAlignment="1">
      <alignment horizontal="right"/>
    </xf>
    <xf numFmtId="167" fontId="7" fillId="3" borderId="0" xfId="9" applyNumberFormat="1" applyFont="1" applyFill="1"/>
    <xf numFmtId="9" fontId="7" fillId="5" borderId="0" xfId="4" applyNumberFormat="1" applyFont="1" applyFill="1" applyAlignment="1">
      <alignment horizontal="right"/>
    </xf>
    <xf numFmtId="8" fontId="14" fillId="4" borderId="2" xfId="8" applyNumberFormat="1" applyFont="1" applyFill="1" applyBorder="1"/>
    <xf numFmtId="0" fontId="13" fillId="2" borderId="0" xfId="4" applyFont="1" applyFill="1" applyAlignment="1">
      <alignment horizontal="center"/>
    </xf>
    <xf numFmtId="0" fontId="9" fillId="3" borderId="0" xfId="4" applyFont="1" applyFill="1" applyAlignment="1">
      <alignment wrapText="1"/>
    </xf>
    <xf numFmtId="7" fontId="9" fillId="3" borderId="0" xfId="4" applyNumberFormat="1" applyFont="1" applyFill="1" applyAlignment="1">
      <alignment vertical="center"/>
    </xf>
  </cellXfs>
  <cellStyles count="10">
    <cellStyle name="Comma" xfId="9" builtinId="3"/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190500</xdr:colOff>
      <xdr:row>16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190500</xdr:colOff>
      <xdr:row>17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F4B9AF-BF33-47D2-874D-D626628149AB}"/>
            </a:ext>
          </a:extLst>
        </xdr:cNvPr>
        <xdr:cNvSpPr txBox="1"/>
      </xdr:nvSpPr>
      <xdr:spPr>
        <a:xfrm>
          <a:off x="5463540" y="22783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F16"/>
  <sheetViews>
    <sheetView tabSelected="1" workbookViewId="0">
      <selection activeCell="C17" sqref="C17"/>
    </sheetView>
  </sheetViews>
  <sheetFormatPr defaultRowHeight="11.4" outlineLevelRow="1" x14ac:dyDescent="0.2"/>
  <cols>
    <col min="1" max="1" width="1.875" style="2" customWidth="1"/>
    <col min="2" max="2" width="29.5" style="2" customWidth="1"/>
    <col min="3" max="3" width="13.125" style="2" customWidth="1"/>
    <col min="4" max="6" width="11.375" style="2" bestFit="1" customWidth="1"/>
    <col min="7" max="16384" width="9" style="2"/>
  </cols>
  <sheetData>
    <row r="1" spans="2:6" ht="13.2" customHeight="1" x14ac:dyDescent="0.2">
      <c r="B1" s="11" t="s">
        <v>11</v>
      </c>
      <c r="E1" s="9"/>
      <c r="F1" s="10"/>
    </row>
    <row r="2" spans="2:6" ht="12.75" customHeight="1" x14ac:dyDescent="0.2"/>
    <row r="3" spans="2:6" ht="12.6" outlineLevel="1" thickBot="1" x14ac:dyDescent="0.3">
      <c r="B3" s="19" t="s">
        <v>1</v>
      </c>
      <c r="C3" s="1"/>
      <c r="D3" s="5"/>
      <c r="E3" s="5"/>
      <c r="F3" s="12"/>
    </row>
    <row r="4" spans="2:6" ht="12" outlineLevel="1" thickTop="1" x14ac:dyDescent="0.2">
      <c r="B4" s="27" t="s">
        <v>17</v>
      </c>
      <c r="C4" s="28">
        <v>100</v>
      </c>
      <c r="F4" s="3"/>
    </row>
    <row r="5" spans="2:6" outlineLevel="1" x14ac:dyDescent="0.2">
      <c r="B5" s="29" t="s">
        <v>7</v>
      </c>
      <c r="C5" s="30">
        <v>6</v>
      </c>
      <c r="F5" s="3"/>
    </row>
    <row r="6" spans="2:6" outlineLevel="1" x14ac:dyDescent="0.2">
      <c r="B6" s="29" t="s">
        <v>8</v>
      </c>
      <c r="C6" s="31">
        <v>3</v>
      </c>
      <c r="F6" s="3"/>
    </row>
    <row r="7" spans="2:6" outlineLevel="1" x14ac:dyDescent="0.2">
      <c r="B7" s="29" t="s">
        <v>15</v>
      </c>
      <c r="C7" s="33">
        <f>AVERAGE(D13:F13)</f>
        <v>0.03</v>
      </c>
      <c r="F7" s="3"/>
    </row>
    <row r="9" spans="2:6" ht="12.6" outlineLevel="1" thickBot="1" x14ac:dyDescent="0.3">
      <c r="B9" s="19" t="s">
        <v>2</v>
      </c>
      <c r="C9" s="1"/>
      <c r="D9" s="5"/>
      <c r="E9" s="5"/>
      <c r="F9" s="12"/>
    </row>
    <row r="10" spans="2:6" ht="12.6" outlineLevel="1" thickTop="1" x14ac:dyDescent="0.25">
      <c r="B10" s="4" t="s">
        <v>0</v>
      </c>
      <c r="C10" s="8"/>
    </row>
    <row r="11" spans="2:6" ht="12" outlineLevel="1" thickBot="1" x14ac:dyDescent="0.25">
      <c r="B11" s="5" t="s">
        <v>3</v>
      </c>
      <c r="C11" s="13">
        <v>0</v>
      </c>
      <c r="D11" s="14">
        <v>1</v>
      </c>
      <c r="E11" s="13">
        <v>2</v>
      </c>
      <c r="F11" s="13">
        <v>3</v>
      </c>
    </row>
    <row r="12" spans="2:6" ht="12" outlineLevel="1" thickTop="1" x14ac:dyDescent="0.2">
      <c r="B12" s="2" t="s">
        <v>4</v>
      </c>
      <c r="C12" s="15"/>
      <c r="D12" s="15">
        <f>$C$5</f>
        <v>6</v>
      </c>
      <c r="E12" s="15">
        <f>$C$5</f>
        <v>6</v>
      </c>
      <c r="F12" s="15">
        <f>C4+C5</f>
        <v>106</v>
      </c>
    </row>
    <row r="13" spans="2:6" outlineLevel="1" x14ac:dyDescent="0.2">
      <c r="B13" s="2" t="s">
        <v>9</v>
      </c>
      <c r="C13" s="15"/>
      <c r="D13" s="17">
        <v>0.02</v>
      </c>
      <c r="E13" s="17">
        <v>0.03</v>
      </c>
      <c r="F13" s="17">
        <v>0.04</v>
      </c>
    </row>
    <row r="14" spans="2:6" s="24" customFormat="1" ht="12" outlineLevel="1" x14ac:dyDescent="0.25">
      <c r="B14" s="36" t="s">
        <v>5</v>
      </c>
      <c r="C14" s="37"/>
      <c r="D14" s="37">
        <f>-PV(D13,D11,0,D12)</f>
        <v>5.8823529411764701</v>
      </c>
      <c r="E14" s="37">
        <f>-PV(E13,E11,0,E12)</f>
        <v>5.6555754548025261</v>
      </c>
      <c r="F14" s="37">
        <f>-PV(F13,F11,0,F12)</f>
        <v>94.23361401911697</v>
      </c>
    </row>
    <row r="15" spans="2:6" ht="12" outlineLevel="1" x14ac:dyDescent="0.25">
      <c r="B15" s="2" t="s">
        <v>14</v>
      </c>
      <c r="C15" s="34">
        <f>SUM(D14:F14)</f>
        <v>105.77154241509596</v>
      </c>
      <c r="D15" s="32"/>
      <c r="E15" s="7"/>
      <c r="F15" s="7"/>
    </row>
    <row r="16" spans="2:6" ht="12" outlineLevel="1" x14ac:dyDescent="0.25">
      <c r="B16" s="2" t="s">
        <v>16</v>
      </c>
      <c r="C16" s="34">
        <f>-PV(C7,C6,C5,C4)</f>
        <v>108.48583406468404</v>
      </c>
      <c r="D16" s="7"/>
      <c r="E16" s="7"/>
      <c r="F16" s="7"/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119F-49F2-493C-811E-D5662FAA39A9}">
  <dimension ref="B1:L17"/>
  <sheetViews>
    <sheetView showGridLines="0" workbookViewId="0">
      <selection activeCell="K17" sqref="K17"/>
    </sheetView>
  </sheetViews>
  <sheetFormatPr defaultRowHeight="11.4" x14ac:dyDescent="0.2"/>
  <cols>
    <col min="1" max="1" width="1.875" style="2" customWidth="1"/>
    <col min="2" max="2" width="28.375" style="2" customWidth="1"/>
    <col min="3" max="3" width="13.125" style="2" customWidth="1"/>
    <col min="4" max="6" width="11.375" style="2" bestFit="1" customWidth="1"/>
    <col min="7" max="7" width="9" style="2"/>
    <col min="8" max="8" width="31" style="2" customWidth="1"/>
    <col min="9" max="9" width="12.125" style="2" customWidth="1"/>
    <col min="10" max="10" width="10.5" style="2" customWidth="1"/>
    <col min="11" max="12" width="12.125" style="2" customWidth="1"/>
    <col min="13" max="16384" width="9" style="2"/>
  </cols>
  <sheetData>
    <row r="1" spans="2:12" ht="13.2" customHeight="1" x14ac:dyDescent="0.2">
      <c r="B1" s="11" t="s">
        <v>11</v>
      </c>
      <c r="E1" s="9"/>
      <c r="F1" s="10"/>
    </row>
    <row r="2" spans="2:12" ht="12.75" customHeight="1" x14ac:dyDescent="0.2"/>
    <row r="3" spans="2:12" ht="12.75" customHeight="1" x14ac:dyDescent="0.25">
      <c r="B3" s="35" t="s">
        <v>12</v>
      </c>
      <c r="C3" s="35"/>
      <c r="D3" s="35"/>
      <c r="E3" s="35"/>
      <c r="F3" s="35"/>
      <c r="H3" s="35" t="s">
        <v>13</v>
      </c>
      <c r="I3" s="35"/>
      <c r="J3" s="35"/>
      <c r="K3" s="35"/>
      <c r="L3" s="35"/>
    </row>
    <row r="4" spans="2:12" s="21" customFormat="1" ht="12.75" customHeight="1" x14ac:dyDescent="0.25">
      <c r="B4" s="20"/>
      <c r="C4" s="20"/>
      <c r="D4" s="20"/>
      <c r="E4" s="20"/>
      <c r="F4" s="20"/>
      <c r="H4" s="20"/>
      <c r="I4" s="20"/>
      <c r="J4" s="20"/>
      <c r="K4" s="20"/>
      <c r="L4" s="20"/>
    </row>
    <row r="5" spans="2:12" ht="12.6" thickBot="1" x14ac:dyDescent="0.3">
      <c r="B5" s="19" t="s">
        <v>1</v>
      </c>
      <c r="C5" s="1"/>
      <c r="D5" s="5"/>
      <c r="E5" s="5"/>
      <c r="F5" s="12"/>
      <c r="H5" s="19" t="s">
        <v>1</v>
      </c>
      <c r="I5" s="1"/>
      <c r="J5" s="5"/>
      <c r="K5" s="5"/>
      <c r="L5" s="12"/>
    </row>
    <row r="6" spans="2:12" ht="12" thickTop="1" x14ac:dyDescent="0.2">
      <c r="B6" s="27" t="s">
        <v>6</v>
      </c>
      <c r="C6" s="28">
        <v>100</v>
      </c>
      <c r="F6" s="3"/>
      <c r="H6" s="27" t="s">
        <v>6</v>
      </c>
      <c r="I6" s="28">
        <v>100</v>
      </c>
      <c r="L6" s="3"/>
    </row>
    <row r="7" spans="2:12" x14ac:dyDescent="0.2">
      <c r="B7" s="29" t="s">
        <v>7</v>
      </c>
      <c r="C7" s="30">
        <v>2</v>
      </c>
      <c r="F7" s="3"/>
      <c r="H7" s="29" t="s">
        <v>7</v>
      </c>
      <c r="I7" s="30">
        <v>2</v>
      </c>
      <c r="L7" s="3"/>
    </row>
    <row r="8" spans="2:12" x14ac:dyDescent="0.2">
      <c r="B8" s="29" t="s">
        <v>8</v>
      </c>
      <c r="C8" s="31">
        <v>3</v>
      </c>
      <c r="F8" s="3"/>
      <c r="H8" s="29" t="s">
        <v>8</v>
      </c>
      <c r="I8" s="31">
        <v>3</v>
      </c>
      <c r="L8" s="3"/>
    </row>
    <row r="10" spans="2:12" ht="12.6" thickBot="1" x14ac:dyDescent="0.3">
      <c r="B10" s="19" t="s">
        <v>2</v>
      </c>
      <c r="C10" s="1"/>
      <c r="D10" s="5"/>
      <c r="E10" s="5"/>
      <c r="F10" s="12"/>
      <c r="H10" s="19" t="s">
        <v>2</v>
      </c>
      <c r="I10" s="1"/>
      <c r="J10" s="5"/>
      <c r="K10" s="5"/>
      <c r="L10" s="12"/>
    </row>
    <row r="11" spans="2:12" ht="12.6" thickTop="1" x14ac:dyDescent="0.25">
      <c r="B11" s="4" t="s">
        <v>0</v>
      </c>
      <c r="C11" s="8"/>
      <c r="H11" s="4" t="s">
        <v>0</v>
      </c>
      <c r="I11" s="8"/>
    </row>
    <row r="12" spans="2:12" ht="12" thickBot="1" x14ac:dyDescent="0.25">
      <c r="B12" s="5" t="s">
        <v>3</v>
      </c>
      <c r="C12" s="13">
        <v>0</v>
      </c>
      <c r="D12" s="14">
        <v>1</v>
      </c>
      <c r="E12" s="13">
        <v>2</v>
      </c>
      <c r="F12" s="13">
        <v>3</v>
      </c>
      <c r="H12" s="5" t="s">
        <v>3</v>
      </c>
      <c r="I12" s="13">
        <v>0</v>
      </c>
      <c r="J12" s="14">
        <v>1</v>
      </c>
      <c r="K12" s="13">
        <v>2</v>
      </c>
      <c r="L12" s="13">
        <v>3</v>
      </c>
    </row>
    <row r="13" spans="2:12" ht="12" thickTop="1" x14ac:dyDescent="0.2">
      <c r="B13" s="2" t="s">
        <v>4</v>
      </c>
      <c r="C13" s="15"/>
      <c r="D13" s="15">
        <f>$C$7</f>
        <v>2</v>
      </c>
      <c r="E13" s="15">
        <f>$C$7</f>
        <v>2</v>
      </c>
      <c r="F13" s="15">
        <f>$C$7+C6</f>
        <v>102</v>
      </c>
      <c r="H13" s="2" t="s">
        <v>4</v>
      </c>
      <c r="I13" s="15"/>
      <c r="J13" s="15">
        <f>$I$7</f>
        <v>2</v>
      </c>
      <c r="K13" s="15">
        <f t="shared" ref="K13" si="0">$I$7</f>
        <v>2</v>
      </c>
      <c r="L13" s="15">
        <f>$I$7+I6</f>
        <v>102</v>
      </c>
    </row>
    <row r="14" spans="2:12" x14ac:dyDescent="0.2">
      <c r="B14" s="2" t="s">
        <v>9</v>
      </c>
      <c r="C14" s="15"/>
      <c r="D14" s="22">
        <v>4.0000000000000001E-3</v>
      </c>
      <c r="E14" s="22">
        <v>1.4E-2</v>
      </c>
      <c r="F14" s="22">
        <v>2.5000000000000001E-2</v>
      </c>
      <c r="H14" s="2" t="s">
        <v>9</v>
      </c>
      <c r="I14" s="15"/>
      <c r="J14" s="23">
        <v>4.6899999999999997E-2</v>
      </c>
      <c r="K14" s="23">
        <v>3.6900000000000002E-2</v>
      </c>
      <c r="L14" s="23">
        <v>2.4400000000000002E-2</v>
      </c>
    </row>
    <row r="15" spans="2:12" x14ac:dyDescent="0.2">
      <c r="B15" s="6" t="s">
        <v>5</v>
      </c>
      <c r="C15" s="16"/>
      <c r="D15" s="18"/>
      <c r="E15" s="18"/>
      <c r="F15" s="18"/>
      <c r="H15" s="6" t="s">
        <v>5</v>
      </c>
      <c r="I15" s="16"/>
      <c r="J15" s="18"/>
      <c r="K15" s="18"/>
      <c r="L15" s="18"/>
    </row>
    <row r="16" spans="2:12" s="24" customFormat="1" ht="12" x14ac:dyDescent="0.25">
      <c r="B16" s="24" t="s">
        <v>10</v>
      </c>
      <c r="C16" s="25"/>
      <c r="D16" s="26"/>
      <c r="E16" s="26"/>
      <c r="F16" s="26"/>
      <c r="H16" s="24" t="s">
        <v>10</v>
      </c>
      <c r="I16" s="25"/>
      <c r="J16" s="26"/>
      <c r="K16" s="26"/>
      <c r="L16" s="26"/>
    </row>
    <row r="17" spans="3:6" x14ac:dyDescent="0.2">
      <c r="C17" s="7"/>
      <c r="D17" s="7"/>
      <c r="E17" s="7"/>
      <c r="F17" s="7"/>
    </row>
  </sheetData>
  <mergeCells count="2">
    <mergeCell ref="B3:F3"/>
    <mergeCell ref="H3:L3"/>
  </mergeCell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Antoniya Baltova</cp:lastModifiedBy>
  <dcterms:created xsi:type="dcterms:W3CDTF">2017-08-22T21:42:52Z</dcterms:created>
  <dcterms:modified xsi:type="dcterms:W3CDTF">2022-11-23T13:39:16Z</dcterms:modified>
</cp:coreProperties>
</file>