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22_Introduction to Fixed Income Investments/Texts/_Recordings/"/>
    </mc:Choice>
  </mc:AlternateContent>
  <xr:revisionPtr revIDLastSave="304" documentId="13_ncr:1_{4B89826E-8039-41A3-98EA-767B2178C20B}" xr6:coauthVersionLast="47" xr6:coauthVersionMax="47" xr10:uidLastSave="{77D34A9E-8860-4C09-BC8A-1852EA04741F}"/>
  <bookViews>
    <workbookView xWindow="-108" yWindow="-108" windowWidth="23256" windowHeight="13176" xr2:uid="{00000000-000D-0000-FFFF-FFFF00000000}"/>
  </bookViews>
  <sheets>
    <sheet name="Example 1" sheetId="3" r:id="rId1"/>
    <sheet name="Example 2" sheetId="4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3" l="1"/>
  <c r="D23" i="3"/>
  <c r="D22" i="3"/>
  <c r="D21" i="3"/>
  <c r="D16" i="3"/>
  <c r="D12" i="3"/>
  <c r="D11" i="3"/>
  <c r="D15" i="3"/>
  <c r="D14" i="3"/>
  <c r="D13" i="3"/>
  <c r="D16" i="4" l="1"/>
  <c r="D15" i="4"/>
  <c r="D22" i="4"/>
  <c r="D14" i="4"/>
  <c r="D12" i="4"/>
  <c r="D9" i="4"/>
  <c r="D21" i="4" l="1"/>
</calcChain>
</file>

<file path=xl/sharedStrings.xml><?xml version="1.0" encoding="utf-8"?>
<sst xmlns="http://schemas.openxmlformats.org/spreadsheetml/2006/main" count="65" uniqueCount="35">
  <si>
    <t>Input Data</t>
  </si>
  <si>
    <t>Output</t>
  </si>
  <si>
    <t xml:space="preserve">Face Value </t>
  </si>
  <si>
    <t xml:space="preserve">Coupon Payment </t>
  </si>
  <si>
    <t xml:space="preserve">Coupon Rate  </t>
  </si>
  <si>
    <t>YTM</t>
  </si>
  <si>
    <t>FV</t>
  </si>
  <si>
    <t>C</t>
  </si>
  <si>
    <t>N</t>
  </si>
  <si>
    <t>Yield-to-maturity</t>
  </si>
  <si>
    <t>PMT</t>
  </si>
  <si>
    <t>T</t>
  </si>
  <si>
    <t>C%</t>
  </si>
  <si>
    <t>t</t>
  </si>
  <si>
    <t>Number of days to the settlement date</t>
  </si>
  <si>
    <t>Number of days within a coupon period</t>
  </si>
  <si>
    <t>r</t>
  </si>
  <si>
    <t>Discount rate</t>
  </si>
  <si>
    <t>PV</t>
  </si>
  <si>
    <t>Calculating Accrued Interest, Full Price, Flat Price</t>
  </si>
  <si>
    <t>Number of periods to maturity</t>
  </si>
  <si>
    <t>Time to maturity (Years)</t>
  </si>
  <si>
    <t>Bond's price</t>
  </si>
  <si>
    <t>Accrued interest</t>
  </si>
  <si>
    <t>AI</t>
  </si>
  <si>
    <t>Issue date</t>
  </si>
  <si>
    <t>First interest date</t>
  </si>
  <si>
    <t>Last interest date</t>
  </si>
  <si>
    <t>Settlement date</t>
  </si>
  <si>
    <t>Coupon Frequency (semi-annual bond)</t>
  </si>
  <si>
    <t>Actual/Actual Method</t>
  </si>
  <si>
    <t>30/360 Method</t>
  </si>
  <si>
    <t>M</t>
  </si>
  <si>
    <t>Full price</t>
  </si>
  <si>
    <t>Flat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</si>
</sst>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0_);[Red]\(&quot;$&quot;#,##0.0000\)"/>
    <numFmt numFmtId="165" formatCode="[$-409]d\-mmm\-yyyy;@"/>
    <numFmt numFmtId="166" formatCode="&quot;$&quot;#,##0.000_);[Red]\(&quot;$&quot;#,##0.000\)"/>
  </numFmts>
  <fonts count="15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  <font>
      <b/>
      <sz val="9"/>
      <color indexed="8"/>
      <name val="Arial"/>
      <family val="2"/>
    </font>
    <font>
      <b/>
      <i/>
      <sz val="12"/>
      <color rgb="FF0073B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49" fontId="6" fillId="2" borderId="1" xfId="4" applyNumberFormat="1" applyFont="1" applyFill="1" applyBorder="1" applyAlignment="1">
      <alignment horizontal="center"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Border="1" applyAlignment="1">
      <alignment horizontal="left" vertical="center"/>
    </xf>
    <xf numFmtId="0" fontId="7" fillId="2" borderId="0" xfId="4" applyFont="1" applyFill="1" applyBorder="1"/>
    <xf numFmtId="0" fontId="7" fillId="2" borderId="0" xfId="4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Border="1" applyAlignment="1">
      <alignment wrapText="1"/>
    </xf>
    <xf numFmtId="49" fontId="6" fillId="2" borderId="0" xfId="4" applyNumberFormat="1" applyFont="1" applyFill="1" applyBorder="1" applyAlignment="1">
      <alignment horizontal="center" wrapText="1"/>
    </xf>
    <xf numFmtId="7" fontId="7" fillId="2" borderId="0" xfId="4" applyNumberFormat="1" applyFont="1" applyFill="1" applyBorder="1"/>
    <xf numFmtId="8" fontId="7" fillId="2" borderId="0" xfId="4" applyNumberFormat="1" applyFont="1" applyFill="1" applyAlignment="1">
      <alignment horizontal="right"/>
    </xf>
    <xf numFmtId="10" fontId="7" fillId="2" borderId="0" xfId="4" applyNumberFormat="1" applyFont="1" applyFill="1" applyAlignment="1">
      <alignment horizontal="right"/>
    </xf>
    <xf numFmtId="49" fontId="12" fillId="2" borderId="1" xfId="4" applyNumberFormat="1" applyFont="1" applyFill="1" applyBorder="1" applyAlignment="1">
      <alignment wrapText="1"/>
    </xf>
    <xf numFmtId="164" fontId="11" fillId="3" borderId="2" xfId="8" applyNumberFormat="1" applyFont="1" applyFill="1" applyBorder="1"/>
    <xf numFmtId="164" fontId="11" fillId="3" borderId="0" xfId="8" applyNumberFormat="1" applyFont="1" applyFill="1" applyBorder="1"/>
    <xf numFmtId="1" fontId="7" fillId="2" borderId="0" xfId="4" applyNumberFormat="1" applyFont="1" applyFill="1"/>
    <xf numFmtId="0" fontId="7" fillId="0" borderId="0" xfId="4" applyFont="1" applyFill="1"/>
    <xf numFmtId="0" fontId="7" fillId="4" borderId="0" xfId="4" applyFont="1" applyFill="1"/>
    <xf numFmtId="165" fontId="7" fillId="4" borderId="0" xfId="4" applyNumberFormat="1" applyFont="1" applyFill="1"/>
    <xf numFmtId="49" fontId="6" fillId="4" borderId="0" xfId="4" applyNumberFormat="1" applyFont="1" applyFill="1" applyAlignment="1">
      <alignment wrapText="1"/>
    </xf>
    <xf numFmtId="8" fontId="6" fillId="4" borderId="0" xfId="4" applyNumberFormat="1" applyFont="1" applyFill="1" applyAlignment="1">
      <alignment horizontal="right" wrapText="1"/>
    </xf>
    <xf numFmtId="9" fontId="7" fillId="4" borderId="0" xfId="4" applyNumberFormat="1" applyFont="1" applyFill="1" applyAlignment="1">
      <alignment horizontal="right"/>
    </xf>
    <xf numFmtId="0" fontId="7" fillId="4" borderId="0" xfId="4" applyFont="1" applyFill="1" applyAlignment="1">
      <alignment horizontal="right"/>
    </xf>
    <xf numFmtId="10" fontId="7" fillId="4" borderId="0" xfId="4" applyNumberFormat="1" applyFont="1" applyFill="1" applyAlignment="1">
      <alignment horizontal="right"/>
    </xf>
    <xf numFmtId="0" fontId="9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8" fillId="4" borderId="0" xfId="4" applyFont="1" applyFill="1" applyAlignment="1">
      <alignment horizontal="right"/>
    </xf>
    <xf numFmtId="166" fontId="14" fillId="3" borderId="2" xfId="8" applyNumberFormat="1" applyFont="1" applyFill="1" applyBorder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190500</xdr:colOff>
      <xdr:row>20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190500</xdr:colOff>
      <xdr:row>19</xdr:row>
      <xdr:rowOff>8572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F0DE72-EBA4-4F2C-8837-406FD90BC820}"/>
            </a:ext>
          </a:extLst>
        </xdr:cNvPr>
        <xdr:cNvSpPr txBox="1"/>
      </xdr:nvSpPr>
      <xdr:spPr>
        <a:xfrm>
          <a:off x="8938260" y="288893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25"/>
  <sheetViews>
    <sheetView tabSelected="1" workbookViewId="0">
      <selection activeCell="E24" sqref="E24"/>
    </sheetView>
  </sheetViews>
  <sheetFormatPr defaultRowHeight="11.4" outlineLevelRow="1" x14ac:dyDescent="0.2"/>
  <cols>
    <col min="1" max="1" width="1.875" style="2" customWidth="1"/>
    <col min="2" max="2" width="11.25" style="2" customWidth="1"/>
    <col min="3" max="3" width="32.375" style="2" customWidth="1"/>
    <col min="4" max="4" width="13.125" style="2" customWidth="1"/>
    <col min="5" max="5" width="11.375" style="2" bestFit="1" customWidth="1"/>
    <col min="6" max="6" width="19" style="2" customWidth="1"/>
    <col min="7" max="7" width="16.125" style="2" customWidth="1"/>
    <col min="8" max="8" width="11.375" style="2" bestFit="1" customWidth="1"/>
    <col min="9" max="16384" width="9" style="2"/>
  </cols>
  <sheetData>
    <row r="1" spans="2:8" ht="13.2" customHeight="1" x14ac:dyDescent="0.2">
      <c r="C1" s="7"/>
      <c r="F1" s="5"/>
      <c r="G1" s="6"/>
      <c r="H1" s="5"/>
    </row>
    <row r="2" spans="2:8" ht="12.75" customHeight="1" x14ac:dyDescent="0.2">
      <c r="B2" s="28" t="s">
        <v>19</v>
      </c>
    </row>
    <row r="3" spans="2:8" ht="12.75" customHeight="1" x14ac:dyDescent="0.2">
      <c r="B3" s="29" t="s">
        <v>30</v>
      </c>
    </row>
    <row r="4" spans="2:8" ht="12.75" customHeight="1" x14ac:dyDescent="0.2"/>
    <row r="5" spans="2:8" ht="12.75" customHeight="1" x14ac:dyDescent="0.2"/>
    <row r="6" spans="2:8" ht="12.6" outlineLevel="1" thickBot="1" x14ac:dyDescent="0.3">
      <c r="B6" s="16" t="s">
        <v>0</v>
      </c>
      <c r="C6" s="1"/>
      <c r="D6" s="4"/>
      <c r="E6" s="4"/>
      <c r="F6" s="10"/>
      <c r="G6" s="4"/>
      <c r="H6" s="4"/>
    </row>
    <row r="7" spans="2:8" ht="12" outlineLevel="1" thickTop="1" x14ac:dyDescent="0.2">
      <c r="B7" s="21" t="s">
        <v>6</v>
      </c>
      <c r="C7" s="23" t="s">
        <v>2</v>
      </c>
      <c r="D7" s="24">
        <v>100</v>
      </c>
      <c r="G7" s="21" t="s">
        <v>25</v>
      </c>
      <c r="H7" s="22">
        <v>43511</v>
      </c>
    </row>
    <row r="8" spans="2:8" outlineLevel="1" x14ac:dyDescent="0.2">
      <c r="B8" s="21" t="s">
        <v>12</v>
      </c>
      <c r="C8" s="21" t="s">
        <v>4</v>
      </c>
      <c r="D8" s="25">
        <v>0.06</v>
      </c>
      <c r="G8" s="21" t="s">
        <v>26</v>
      </c>
      <c r="H8" s="22">
        <v>43692</v>
      </c>
    </row>
    <row r="9" spans="2:8" ht="12" outlineLevel="1" x14ac:dyDescent="0.25">
      <c r="B9" s="21" t="s">
        <v>7</v>
      </c>
      <c r="C9" s="21" t="s">
        <v>29</v>
      </c>
      <c r="D9" s="30">
        <v>2</v>
      </c>
      <c r="G9" s="21" t="s">
        <v>28</v>
      </c>
      <c r="H9" s="22">
        <v>43599</v>
      </c>
    </row>
    <row r="10" spans="2:8" outlineLevel="1" x14ac:dyDescent="0.2">
      <c r="B10" s="21" t="s">
        <v>5</v>
      </c>
      <c r="C10" s="21" t="s">
        <v>9</v>
      </c>
      <c r="D10" s="27">
        <v>4.8000000000000001E-2</v>
      </c>
      <c r="G10" s="21" t="s">
        <v>27</v>
      </c>
      <c r="H10" s="22">
        <v>46798</v>
      </c>
    </row>
    <row r="11" spans="2:8" outlineLevel="1" x14ac:dyDescent="0.2">
      <c r="B11" s="2" t="s">
        <v>10</v>
      </c>
      <c r="C11" s="2" t="s">
        <v>3</v>
      </c>
      <c r="D11" s="14">
        <f>D7*D8/D9</f>
        <v>3</v>
      </c>
    </row>
    <row r="12" spans="2:8" outlineLevel="1" x14ac:dyDescent="0.2">
      <c r="B12" s="2" t="s">
        <v>16</v>
      </c>
      <c r="C12" s="2" t="s">
        <v>17</v>
      </c>
      <c r="D12" s="15">
        <f>D10/D9</f>
        <v>2.4E-2</v>
      </c>
    </row>
    <row r="13" spans="2:8" outlineLevel="1" x14ac:dyDescent="0.2">
      <c r="B13" s="2" t="s">
        <v>11</v>
      </c>
      <c r="C13" s="2" t="s">
        <v>15</v>
      </c>
      <c r="D13" s="19">
        <f>_xlfn.DAYS(H8,H7)</f>
        <v>181</v>
      </c>
    </row>
    <row r="14" spans="2:8" outlineLevel="1" x14ac:dyDescent="0.2">
      <c r="B14" s="2" t="s">
        <v>13</v>
      </c>
      <c r="C14" s="2" t="s">
        <v>14</v>
      </c>
      <c r="D14" s="9">
        <f>_xlfn.DAYS(H9,H7)</f>
        <v>88</v>
      </c>
      <c r="G14" s="3"/>
    </row>
    <row r="15" spans="2:8" outlineLevel="1" x14ac:dyDescent="0.2">
      <c r="B15" s="2" t="s">
        <v>32</v>
      </c>
      <c r="C15" s="2" t="s">
        <v>21</v>
      </c>
      <c r="D15" s="2">
        <f>YEARFRAC(H7,H10)</f>
        <v>9</v>
      </c>
      <c r="G15" s="3"/>
    </row>
    <row r="16" spans="2:8" outlineLevel="1" x14ac:dyDescent="0.2">
      <c r="B16" s="2" t="s">
        <v>8</v>
      </c>
      <c r="C16" s="2" t="s">
        <v>20</v>
      </c>
      <c r="D16" s="2">
        <f>D15*D9</f>
        <v>18</v>
      </c>
      <c r="G16" s="3"/>
    </row>
    <row r="18" spans="2:8" ht="12.6" outlineLevel="1" thickBot="1" x14ac:dyDescent="0.3">
      <c r="B18" s="16" t="s">
        <v>1</v>
      </c>
      <c r="C18" s="1"/>
      <c r="D18" s="4"/>
      <c r="E18" s="4"/>
      <c r="F18" s="10"/>
      <c r="G18" s="4"/>
      <c r="H18" s="4"/>
    </row>
    <row r="19" spans="2:8" ht="12" outlineLevel="1" thickTop="1" x14ac:dyDescent="0.2">
      <c r="C19" s="11"/>
      <c r="D19" s="12"/>
      <c r="E19" s="8"/>
      <c r="F19" s="8"/>
      <c r="G19" s="13"/>
      <c r="H19" s="8"/>
    </row>
    <row r="20" spans="2:8" outlineLevel="1" x14ac:dyDescent="0.2"/>
    <row r="21" spans="2:8" ht="12" outlineLevel="1" x14ac:dyDescent="0.25">
      <c r="B21" s="2" t="s">
        <v>18</v>
      </c>
      <c r="C21" s="2" t="s">
        <v>22</v>
      </c>
      <c r="D21" s="31">
        <f>-PV(D12,D16,D11,D7)</f>
        <v>108.68673883000368</v>
      </c>
      <c r="F21" s="18"/>
    </row>
    <row r="22" spans="2:8" ht="12" outlineLevel="1" x14ac:dyDescent="0.25">
      <c r="B22" s="20" t="s">
        <v>24</v>
      </c>
      <c r="C22" s="20" t="s">
        <v>23</v>
      </c>
      <c r="D22" s="31">
        <f>ACCRINT(H7,H8,H9,D8,D7,D9,1,0)</f>
        <v>1.458563535911602</v>
      </c>
      <c r="F22" s="18"/>
    </row>
    <row r="23" spans="2:8" ht="12" outlineLevel="1" x14ac:dyDescent="0.25">
      <c r="C23" s="2" t="s">
        <v>33</v>
      </c>
      <c r="D23" s="31">
        <f>D21*(1+D12)^(D14/D13)</f>
        <v>109.94722476224428</v>
      </c>
    </row>
    <row r="24" spans="2:8" ht="12" outlineLevel="1" x14ac:dyDescent="0.25">
      <c r="C24" s="2" t="s">
        <v>34</v>
      </c>
      <c r="D24" s="31">
        <f>D23-D22</f>
        <v>108.48866122633267</v>
      </c>
    </row>
    <row r="25" spans="2:8" outlineLevel="1" x14ac:dyDescent="0.2"/>
  </sheetData>
  <phoneticPr fontId="10" type="noConversion"/>
  <dataValidations disablePrompts="1" count="1">
    <dataValidation type="list" allowBlank="1" showInputMessage="1" showErrorMessage="1" sqref="D9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98A6-39A3-44F9-831C-30E8F5ADB65A}">
  <dimension ref="B1:H22"/>
  <sheetViews>
    <sheetView workbookViewId="0">
      <selection activeCell="D22" sqref="D22"/>
    </sheetView>
  </sheetViews>
  <sheetFormatPr defaultRowHeight="11.4" x14ac:dyDescent="0.2"/>
  <cols>
    <col min="1" max="1" width="1.875" style="2" customWidth="1"/>
    <col min="2" max="2" width="11.25" style="2" customWidth="1"/>
    <col min="3" max="3" width="32.375" style="2" customWidth="1"/>
    <col min="4" max="4" width="13.125" style="2" customWidth="1"/>
    <col min="5" max="5" width="11.375" style="2" bestFit="1" customWidth="1"/>
    <col min="6" max="6" width="19" style="2" customWidth="1"/>
    <col min="7" max="7" width="16.125" style="2" customWidth="1"/>
    <col min="8" max="8" width="11.375" style="2" bestFit="1" customWidth="1"/>
    <col min="9" max="16384" width="9" style="2"/>
  </cols>
  <sheetData>
    <row r="1" spans="2:8" ht="13.2" customHeight="1" x14ac:dyDescent="0.2">
      <c r="C1" s="7"/>
      <c r="F1" s="5"/>
      <c r="G1" s="6"/>
      <c r="H1" s="5"/>
    </row>
    <row r="2" spans="2:8" ht="12.75" customHeight="1" x14ac:dyDescent="0.2">
      <c r="B2" s="28" t="s">
        <v>19</v>
      </c>
    </row>
    <row r="3" spans="2:8" ht="12.75" customHeight="1" x14ac:dyDescent="0.2">
      <c r="B3" s="29" t="s">
        <v>31</v>
      </c>
    </row>
    <row r="4" spans="2:8" ht="12.75" customHeight="1" x14ac:dyDescent="0.2"/>
    <row r="5" spans="2:8" ht="12.75" customHeight="1" x14ac:dyDescent="0.2"/>
    <row r="6" spans="2:8" ht="12.6" thickBot="1" x14ac:dyDescent="0.3">
      <c r="B6" s="16" t="s">
        <v>0</v>
      </c>
      <c r="C6" s="1"/>
      <c r="D6" s="4"/>
      <c r="E6" s="4"/>
      <c r="F6" s="10"/>
      <c r="G6" s="4"/>
      <c r="H6" s="4"/>
    </row>
    <row r="7" spans="2:8" ht="12" thickTop="1" x14ac:dyDescent="0.2">
      <c r="B7" s="21" t="s">
        <v>6</v>
      </c>
      <c r="C7" s="23" t="s">
        <v>2</v>
      </c>
      <c r="D7" s="24">
        <v>100</v>
      </c>
      <c r="G7" s="21" t="s">
        <v>25</v>
      </c>
      <c r="H7" s="22">
        <v>43568</v>
      </c>
    </row>
    <row r="8" spans="2:8" x14ac:dyDescent="0.2">
      <c r="B8" s="21" t="s">
        <v>12</v>
      </c>
      <c r="C8" s="21" t="s">
        <v>4</v>
      </c>
      <c r="D8" s="25">
        <v>0.06</v>
      </c>
      <c r="G8" s="21" t="s">
        <v>26</v>
      </c>
      <c r="H8" s="22">
        <v>43751</v>
      </c>
    </row>
    <row r="9" spans="2:8" x14ac:dyDescent="0.2">
      <c r="B9" s="2" t="s">
        <v>10</v>
      </c>
      <c r="C9" s="2" t="s">
        <v>3</v>
      </c>
      <c r="D9" s="14">
        <f>(D8*D7)/D10</f>
        <v>3</v>
      </c>
      <c r="G9" s="21" t="s">
        <v>28</v>
      </c>
      <c r="H9" s="22">
        <v>43658</v>
      </c>
    </row>
    <row r="10" spans="2:8" x14ac:dyDescent="0.2">
      <c r="B10" s="21" t="s">
        <v>7</v>
      </c>
      <c r="C10" s="21" t="s">
        <v>29</v>
      </c>
      <c r="D10" s="26">
        <v>2</v>
      </c>
      <c r="G10" s="21" t="s">
        <v>27</v>
      </c>
      <c r="H10" s="22">
        <v>47769</v>
      </c>
    </row>
    <row r="11" spans="2:8" x14ac:dyDescent="0.2">
      <c r="B11" s="21" t="s">
        <v>5</v>
      </c>
      <c r="C11" s="21" t="s">
        <v>9</v>
      </c>
      <c r="D11" s="27">
        <v>5.5E-2</v>
      </c>
    </row>
    <row r="12" spans="2:8" x14ac:dyDescent="0.2">
      <c r="B12" s="2" t="s">
        <v>16</v>
      </c>
      <c r="C12" s="2" t="s">
        <v>17</v>
      </c>
      <c r="D12" s="15">
        <f>D11/D10</f>
        <v>2.75E-2</v>
      </c>
    </row>
    <row r="13" spans="2:8" x14ac:dyDescent="0.2">
      <c r="B13" s="2" t="s">
        <v>11</v>
      </c>
      <c r="C13" s="2" t="s">
        <v>15</v>
      </c>
      <c r="D13" s="19">
        <v>180</v>
      </c>
      <c r="G13" s="3"/>
    </row>
    <row r="14" spans="2:8" x14ac:dyDescent="0.2">
      <c r="B14" s="2" t="s">
        <v>13</v>
      </c>
      <c r="C14" s="2" t="s">
        <v>14</v>
      </c>
      <c r="D14" s="9">
        <f>_xlfn.DAYS(H9,H7)</f>
        <v>90</v>
      </c>
      <c r="G14" s="3"/>
    </row>
    <row r="15" spans="2:8" x14ac:dyDescent="0.2">
      <c r="C15" s="2" t="s">
        <v>21</v>
      </c>
      <c r="D15" s="2">
        <f>YEARFRAC(H7,H10)</f>
        <v>11.5</v>
      </c>
      <c r="G15" s="3"/>
    </row>
    <row r="16" spans="2:8" x14ac:dyDescent="0.2">
      <c r="B16" s="2" t="s">
        <v>8</v>
      </c>
      <c r="C16" s="2" t="s">
        <v>20</v>
      </c>
      <c r="D16" s="2">
        <f>D15*D10</f>
        <v>23</v>
      </c>
    </row>
    <row r="18" spans="2:8" ht="12.6" thickBot="1" x14ac:dyDescent="0.3">
      <c r="B18" s="16" t="s">
        <v>1</v>
      </c>
      <c r="C18" s="1"/>
      <c r="D18" s="4"/>
      <c r="E18" s="4"/>
      <c r="F18" s="10"/>
      <c r="G18" s="4"/>
      <c r="H18" s="4"/>
    </row>
    <row r="19" spans="2:8" ht="12" thickTop="1" x14ac:dyDescent="0.2">
      <c r="C19" s="11"/>
      <c r="D19" s="12"/>
      <c r="E19" s="8"/>
      <c r="F19" s="8"/>
      <c r="G19" s="13"/>
      <c r="H19" s="8"/>
    </row>
    <row r="21" spans="2:8" x14ac:dyDescent="0.2">
      <c r="B21" s="2" t="s">
        <v>18</v>
      </c>
      <c r="C21" s="2" t="s">
        <v>22</v>
      </c>
      <c r="D21" s="17">
        <f>-PV(D12,D16,D9,D7)</f>
        <v>104.21982965187198</v>
      </c>
      <c r="F21" s="18"/>
    </row>
    <row r="22" spans="2:8" x14ac:dyDescent="0.2">
      <c r="B22" s="20" t="s">
        <v>24</v>
      </c>
      <c r="C22" s="20" t="s">
        <v>23</v>
      </c>
      <c r="D22" s="17">
        <f>ACCRINT(H7,H8,H9,D8,D7,D10,4,0)</f>
        <v>1.4833333333333334</v>
      </c>
      <c r="F22" s="18"/>
    </row>
  </sheetData>
  <dataValidations count="1">
    <dataValidation type="list" allowBlank="1" showInputMessage="1" showErrorMessage="1" sqref="D10" xr:uid="{E0A25C88-BEDB-4621-A33C-98590C17039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Antoniya Baltova</cp:lastModifiedBy>
  <dcterms:created xsi:type="dcterms:W3CDTF">2017-08-22T21:42:52Z</dcterms:created>
  <dcterms:modified xsi:type="dcterms:W3CDTF">2022-11-23T14:35:41Z</dcterms:modified>
</cp:coreProperties>
</file>