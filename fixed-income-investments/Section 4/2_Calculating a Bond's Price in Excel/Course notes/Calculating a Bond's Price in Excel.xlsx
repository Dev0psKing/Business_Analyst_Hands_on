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22_Introduction to Fixed Income Investments/Texts/_Recordings/"/>
    </mc:Choice>
  </mc:AlternateContent>
  <xr:revisionPtr revIDLastSave="78" documentId="10_ncr:40000_{ED87E6EA-B5B5-4078-9051-2C7100242B60}" xr6:coauthVersionLast="47" xr6:coauthVersionMax="47" xr10:uidLastSave="{3A30A1A6-6438-4487-B041-14F42BB9D27F}"/>
  <bookViews>
    <workbookView xWindow="-108" yWindow="-108" windowWidth="23256" windowHeight="13176" xr2:uid="{00000000-000D-0000-FFFF-FFFF00000000}"/>
  </bookViews>
  <sheets>
    <sheet name="Pri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12" i="2" s="1"/>
  <c r="F13" i="2" s="1"/>
  <c r="E12" i="2"/>
  <c r="E13" i="2" s="1"/>
  <c r="D5" i="2"/>
  <c r="D12" i="2" s="1"/>
  <c r="D13" i="2" s="1"/>
  <c r="E5" i="2"/>
</calcChain>
</file>

<file path=xl/sharedStrings.xml><?xml version="1.0" encoding="utf-8"?>
<sst xmlns="http://schemas.openxmlformats.org/spreadsheetml/2006/main" count="22" uniqueCount="22">
  <si>
    <t>PV</t>
  </si>
  <si>
    <t>PMT</t>
  </si>
  <si>
    <t>r</t>
  </si>
  <si>
    <t>FV</t>
  </si>
  <si>
    <t>N</t>
  </si>
  <si>
    <t>Coupon payment</t>
  </si>
  <si>
    <t>Discount rate</t>
  </si>
  <si>
    <t>Par Value (Future Value)</t>
  </si>
  <si>
    <t>Time to maturity</t>
  </si>
  <si>
    <t xml:space="preserve">Coupon rate </t>
  </si>
  <si>
    <t>C</t>
  </si>
  <si>
    <t>Example 1</t>
  </si>
  <si>
    <t>Example 2</t>
  </si>
  <si>
    <t>Example 3</t>
  </si>
  <si>
    <t>at premium</t>
  </si>
  <si>
    <t>Discount/premium</t>
  </si>
  <si>
    <t>at discount</t>
  </si>
  <si>
    <t>Input Data</t>
  </si>
  <si>
    <t>Output</t>
  </si>
  <si>
    <t>Bond's price (Present Value)</t>
  </si>
  <si>
    <t>Calculating a Bond's Price</t>
  </si>
  <si>
    <t>trading at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</si>
</sst>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49" fontId="4" fillId="2" borderId="1" xfId="2" applyNumberFormat="1" applyFont="1" applyFill="1" applyBorder="1" applyAlignment="1">
      <alignment wrapText="1"/>
    </xf>
    <xf numFmtId="0" fontId="5" fillId="2" borderId="0" xfId="3" applyFont="1" applyFill="1" applyAlignment="1">
      <alignment horizontal="left" vertical="center"/>
    </xf>
    <xf numFmtId="49" fontId="6" fillId="2" borderId="1" xfId="2" applyNumberFormat="1" applyFont="1" applyFill="1" applyBorder="1" applyAlignment="1">
      <alignment horizontal="center" wrapText="1"/>
    </xf>
    <xf numFmtId="0" fontId="7" fillId="2" borderId="1" xfId="2" applyFont="1" applyFill="1" applyBorder="1"/>
    <xf numFmtId="0" fontId="7" fillId="2" borderId="0" xfId="2" applyFont="1" applyFill="1"/>
    <xf numFmtId="0" fontId="8" fillId="0" borderId="0" xfId="0" applyFont="1"/>
    <xf numFmtId="0" fontId="9" fillId="0" borderId="0" xfId="0" applyFont="1"/>
    <xf numFmtId="164" fontId="9" fillId="0" borderId="0" xfId="1" applyNumberFormat="1" applyFont="1"/>
    <xf numFmtId="9" fontId="9" fillId="0" borderId="0" xfId="0" applyNumberFormat="1" applyFont="1"/>
    <xf numFmtId="43" fontId="9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8" fontId="8" fillId="0" borderId="0" xfId="1" applyNumberFormat="1" applyFont="1"/>
    <xf numFmtId="3" fontId="8" fillId="0" borderId="0" xfId="0" applyNumberFormat="1" applyFont="1"/>
  </cellXfs>
  <cellStyles count="5">
    <cellStyle name="Comma" xfId="1" builtinId="3"/>
    <cellStyle name="Normal" xfId="0" builtinId="0"/>
    <cellStyle name="Normal 10" xfId="4" xr:uid="{6AE80ECE-6233-4E8F-9D35-F80DA286B423}"/>
    <cellStyle name="Normal 2" xfId="2" xr:uid="{511D953E-20BA-4DED-9DDF-A74A59FE3B02}"/>
    <cellStyle name="Normal 2 2 2" xfId="3" xr:uid="{18E1545C-509B-464E-B751-D652BE662D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67DE-1EEA-494B-AED7-3F93BE1C5CDF}">
  <dimension ref="B2:K17"/>
  <sheetViews>
    <sheetView showGridLines="0" tabSelected="1" workbookViewId="0">
      <selection activeCell="F15" sqref="F15"/>
    </sheetView>
  </sheetViews>
  <sheetFormatPr defaultRowHeight="14.4" x14ac:dyDescent="0.3"/>
  <cols>
    <col min="1" max="1" width="3.5546875" customWidth="1"/>
    <col min="2" max="2" width="27.88671875" customWidth="1"/>
    <col min="4" max="4" width="11" customWidth="1"/>
    <col min="5" max="5" width="10.88671875" customWidth="1"/>
    <col min="6" max="6" width="10.6640625" customWidth="1"/>
    <col min="7" max="7" width="8.88671875" customWidth="1"/>
  </cols>
  <sheetData>
    <row r="2" spans="2:11" ht="15.6" x14ac:dyDescent="0.3">
      <c r="B2" s="3" t="s">
        <v>20</v>
      </c>
    </row>
    <row r="3" spans="2:11" ht="15.6" x14ac:dyDescent="0.3">
      <c r="B3" s="3"/>
    </row>
    <row r="4" spans="2:11" s="1" customFormat="1" ht="15" thickBot="1" x14ac:dyDescent="0.35">
      <c r="B4" s="2" t="s">
        <v>17</v>
      </c>
      <c r="C4" s="2"/>
      <c r="D4" s="2" t="s">
        <v>11</v>
      </c>
      <c r="E4" s="2" t="s">
        <v>12</v>
      </c>
      <c r="F4" s="2" t="s">
        <v>13</v>
      </c>
      <c r="G4" s="7"/>
      <c r="H4" s="7"/>
      <c r="I4" s="7"/>
      <c r="J4" s="7"/>
      <c r="K4" s="7"/>
    </row>
    <row r="5" spans="2:11" ht="15" thickTop="1" x14ac:dyDescent="0.3">
      <c r="B5" s="8" t="s">
        <v>5</v>
      </c>
      <c r="C5" s="8" t="s">
        <v>1</v>
      </c>
      <c r="D5" s="9">
        <f>D8*D6</f>
        <v>50</v>
      </c>
      <c r="E5" s="9">
        <f>E6*E8</f>
        <v>80</v>
      </c>
      <c r="F5" s="9">
        <f>F6*F8</f>
        <v>20</v>
      </c>
      <c r="G5" s="8"/>
      <c r="H5" s="8"/>
      <c r="I5" s="8"/>
      <c r="J5" s="8"/>
      <c r="K5" s="8"/>
    </row>
    <row r="6" spans="2:11" x14ac:dyDescent="0.3">
      <c r="B6" s="8" t="s">
        <v>9</v>
      </c>
      <c r="C6" s="8" t="s">
        <v>10</v>
      </c>
      <c r="D6" s="10">
        <v>0.05</v>
      </c>
      <c r="E6" s="10">
        <v>0.08</v>
      </c>
      <c r="F6" s="10">
        <v>0.02</v>
      </c>
      <c r="G6" s="8"/>
      <c r="H6" s="8"/>
      <c r="I6" s="8"/>
      <c r="J6" s="8"/>
      <c r="K6" s="8"/>
    </row>
    <row r="7" spans="2:11" x14ac:dyDescent="0.3">
      <c r="B7" s="8" t="s">
        <v>6</v>
      </c>
      <c r="C7" s="8" t="s">
        <v>2</v>
      </c>
      <c r="D7" s="10">
        <v>0.05</v>
      </c>
      <c r="E7" s="10">
        <v>0.05</v>
      </c>
      <c r="F7" s="10">
        <v>0.05</v>
      </c>
      <c r="G7" s="8"/>
      <c r="H7" s="8"/>
      <c r="I7" s="8"/>
      <c r="J7" s="8"/>
      <c r="K7" s="8"/>
    </row>
    <row r="8" spans="2:11" s="1" customFormat="1" x14ac:dyDescent="0.3">
      <c r="B8" s="7" t="s">
        <v>7</v>
      </c>
      <c r="C8" s="7" t="s">
        <v>3</v>
      </c>
      <c r="D8" s="15">
        <v>1000</v>
      </c>
      <c r="E8" s="15">
        <v>1000</v>
      </c>
      <c r="F8" s="15">
        <v>1000</v>
      </c>
      <c r="G8" s="7"/>
      <c r="H8" s="7"/>
      <c r="I8" s="7"/>
      <c r="J8" s="7"/>
      <c r="K8" s="7"/>
    </row>
    <row r="9" spans="2:11" x14ac:dyDescent="0.3">
      <c r="B9" s="8" t="s">
        <v>8</v>
      </c>
      <c r="C9" s="8" t="s">
        <v>4</v>
      </c>
      <c r="D9" s="8">
        <v>3</v>
      </c>
      <c r="E9" s="8">
        <v>3</v>
      </c>
      <c r="F9" s="8">
        <v>3</v>
      </c>
      <c r="G9" s="8"/>
      <c r="H9" s="8"/>
      <c r="I9" s="8"/>
      <c r="J9" s="8"/>
      <c r="K9" s="8"/>
    </row>
    <row r="10" spans="2:11" x14ac:dyDescent="0.3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2:11" ht="15" thickBot="1" x14ac:dyDescent="0.35">
      <c r="B11" s="2" t="s">
        <v>18</v>
      </c>
      <c r="C11" s="4"/>
      <c r="D11" s="5"/>
      <c r="E11" s="5"/>
      <c r="F11" s="5"/>
      <c r="G11" s="8"/>
      <c r="H11" s="8"/>
      <c r="I11" s="8"/>
      <c r="J11" s="8"/>
      <c r="K11" s="8"/>
    </row>
    <row r="12" spans="2:11" ht="15" thickTop="1" x14ac:dyDescent="0.3">
      <c r="B12" s="7" t="s">
        <v>19</v>
      </c>
      <c r="C12" s="7" t="s">
        <v>0</v>
      </c>
      <c r="D12" s="14">
        <f>-PV(D7,D9,D5,D8,0)</f>
        <v>999.99999999999989</v>
      </c>
      <c r="E12" s="14">
        <f>-PV(E7,E9,E5,E8,0)</f>
        <v>1081.6974408811145</v>
      </c>
      <c r="F12" s="14">
        <f>-PV(F7,F9,F5,F8,0)</f>
        <v>918.30255911888548</v>
      </c>
      <c r="G12" s="8"/>
      <c r="H12" s="6"/>
      <c r="I12" s="8"/>
      <c r="J12" s="8"/>
      <c r="K12" s="8"/>
    </row>
    <row r="13" spans="2:11" x14ac:dyDescent="0.3">
      <c r="B13" s="8" t="s">
        <v>15</v>
      </c>
      <c r="C13" s="8"/>
      <c r="D13" s="11">
        <f>D8-D12</f>
        <v>0</v>
      </c>
      <c r="E13" s="11">
        <f>E8-E12</f>
        <v>-81.697440881114517</v>
      </c>
      <c r="F13" s="11">
        <f>F8-F12</f>
        <v>81.697440881114517</v>
      </c>
      <c r="G13" s="8"/>
      <c r="H13" s="6"/>
      <c r="I13" s="8"/>
      <c r="J13" s="8"/>
      <c r="K13" s="8"/>
    </row>
    <row r="14" spans="2:11" x14ac:dyDescent="0.3">
      <c r="B14" s="8"/>
      <c r="C14" s="8"/>
      <c r="D14" s="12" t="s">
        <v>21</v>
      </c>
      <c r="E14" s="13" t="s">
        <v>14</v>
      </c>
      <c r="F14" s="13" t="s">
        <v>16</v>
      </c>
      <c r="G14" s="8"/>
      <c r="H14" s="8"/>
      <c r="I14" s="8"/>
      <c r="J14" s="8"/>
      <c r="K14" s="8"/>
    </row>
    <row r="15" spans="2:1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2:11" x14ac:dyDescent="0.3"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2:11" x14ac:dyDescent="0.3">
      <c r="B17" s="8"/>
      <c r="C17" s="8"/>
      <c r="D17" s="8"/>
      <c r="E17" s="8"/>
      <c r="F17" s="8"/>
      <c r="G17" s="8"/>
      <c r="H17" s="8"/>
      <c r="I17" s="8"/>
      <c r="J17" s="8"/>
      <c r="K17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Antoniya Baltova</dc:creator>
  <cp:lastModifiedBy>Antoniya Baltova</cp:lastModifiedBy>
  <dcterms:created xsi:type="dcterms:W3CDTF">2022-10-19T08:53:03Z</dcterms:created>
  <dcterms:modified xsi:type="dcterms:W3CDTF">2022-11-22T16:07:17Z</dcterms:modified>
</cp:coreProperties>
</file>