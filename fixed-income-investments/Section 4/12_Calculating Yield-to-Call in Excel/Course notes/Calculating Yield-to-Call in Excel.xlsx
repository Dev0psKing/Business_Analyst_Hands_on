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LMS_Courses/Fixed Income Investments/Files/"/>
    </mc:Choice>
  </mc:AlternateContent>
  <xr:revisionPtr revIDLastSave="103" documentId="13_ncr:1_{341B37A9-B034-4A05-B4B4-100DFC72293C}" xr6:coauthVersionLast="47" xr6:coauthVersionMax="47" xr10:uidLastSave="{3EA83D5C-4944-4BE2-9802-0B4B901DD594}"/>
  <bookViews>
    <workbookView xWindow="-108" yWindow="-108" windowWidth="23256" windowHeight="12576" xr2:uid="{00000000-000D-0000-FFFF-FFFF00000000}"/>
  </bookViews>
  <sheets>
    <sheet name="Yield-To-Call (YTC)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C17" i="3" s="1"/>
  <c r="E9" i="3"/>
  <c r="E17" i="3" s="1"/>
  <c r="G9" i="3"/>
  <c r="G17" i="3" s="1"/>
  <c r="I9" i="3"/>
  <c r="I17" i="3" s="1"/>
  <c r="C20" i="3"/>
</calcChain>
</file>

<file path=xl/sharedStrings.xml><?xml version="1.0" encoding="utf-8"?>
<sst xmlns="http://schemas.openxmlformats.org/spreadsheetml/2006/main" count="15" uniqueCount="15">
  <si>
    <t>Input Data</t>
  </si>
  <si>
    <t>Output</t>
  </si>
  <si>
    <t>Yield-To-Call</t>
  </si>
  <si>
    <t xml:space="preserve">Number of Years to Call </t>
  </si>
  <si>
    <t>Call Price</t>
  </si>
  <si>
    <t>Yield-To-Call (YTC)</t>
  </si>
  <si>
    <t xml:space="preserve">Face Value </t>
  </si>
  <si>
    <t xml:space="preserve">Bond Price </t>
  </si>
  <si>
    <t xml:space="preserve">Annual Coupon Rate  </t>
  </si>
  <si>
    <t xml:space="preserve">Coupon Payment </t>
  </si>
  <si>
    <t xml:space="preserve">Number of Years to Maturity </t>
  </si>
  <si>
    <t>First Call</t>
  </si>
  <si>
    <t>Second Call</t>
  </si>
  <si>
    <t>Third Call</t>
  </si>
  <si>
    <t>YTM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</si>
</sst>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6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  <font>
      <b/>
      <sz val="9"/>
      <color indexed="8"/>
      <name val="Arial"/>
      <family val="2"/>
    </font>
    <font>
      <i/>
      <sz val="9"/>
      <color indexed="8"/>
      <name val="Arial"/>
      <family val="2"/>
    </font>
    <font>
      <i/>
      <sz val="9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26">
    <xf numFmtId="0" fontId="0" fillId="0" borderId="0" xfId="0"/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8" fontId="7" fillId="2" borderId="0" xfId="4" applyNumberFormat="1" applyFont="1" applyFill="1" applyAlignment="1">
      <alignment horizontal="right"/>
    </xf>
    <xf numFmtId="49" fontId="12" fillId="2" borderId="1" xfId="4" applyNumberFormat="1" applyFont="1" applyFill="1" applyBorder="1" applyAlignment="1">
      <alignment horizontal="center" wrapText="1"/>
    </xf>
    <xf numFmtId="0" fontId="8" fillId="2" borderId="1" xfId="4" applyFont="1" applyFill="1" applyBorder="1"/>
    <xf numFmtId="10" fontId="7" fillId="2" borderId="0" xfId="4" applyNumberFormat="1" applyFont="1" applyFill="1"/>
    <xf numFmtId="10" fontId="11" fillId="3" borderId="0" xfId="8" applyNumberFormat="1" applyFont="1" applyFill="1"/>
    <xf numFmtId="49" fontId="12" fillId="2" borderId="1" xfId="4" applyNumberFormat="1" applyFont="1" applyFill="1" applyBorder="1" applyAlignment="1">
      <alignment wrapText="1"/>
    </xf>
    <xf numFmtId="49" fontId="13" fillId="2" borderId="0" xfId="4" applyNumberFormat="1" applyFont="1" applyFill="1" applyAlignment="1">
      <alignment wrapText="1"/>
    </xf>
    <xf numFmtId="8" fontId="13" fillId="2" borderId="0" xfId="4" applyNumberFormat="1" applyFont="1" applyFill="1" applyAlignment="1">
      <alignment horizontal="right" wrapText="1"/>
    </xf>
    <xf numFmtId="0" fontId="14" fillId="2" borderId="0" xfId="4" applyFont="1" applyFill="1"/>
    <xf numFmtId="7" fontId="14" fillId="2" borderId="0" xfId="4" applyNumberFormat="1" applyFont="1" applyFill="1"/>
    <xf numFmtId="10" fontId="15" fillId="3" borderId="2" xfId="8" applyNumberFormat="1" applyFont="1" applyFill="1" applyBorder="1"/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190500</xdr:colOff>
      <xdr:row>15</xdr:row>
      <xdr:rowOff>8572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B2E2465-FD08-45F4-9F05-017C2BEFDF63}"/>
            </a:ext>
          </a:extLst>
        </xdr:cNvPr>
        <xdr:cNvSpPr txBox="1"/>
      </xdr:nvSpPr>
      <xdr:spPr>
        <a:xfrm>
          <a:off x="7277100" y="42662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2:I20"/>
  <sheetViews>
    <sheetView tabSelected="1" workbookViewId="0">
      <selection activeCell="O18" sqref="O18"/>
    </sheetView>
  </sheetViews>
  <sheetFormatPr defaultRowHeight="11.4" outlineLevelRow="1" x14ac:dyDescent="0.2"/>
  <cols>
    <col min="1" max="1" width="1.875" style="3" customWidth="1"/>
    <col min="2" max="2" width="28.375" style="3" customWidth="1"/>
    <col min="3" max="3" width="17.25" style="3" customWidth="1"/>
    <col min="4" max="4" width="12.5" style="3" customWidth="1"/>
    <col min="5" max="5" width="14.625" style="3" customWidth="1"/>
    <col min="6" max="7" width="14" style="3" customWidth="1"/>
    <col min="8" max="8" width="15.125" style="3" customWidth="1"/>
    <col min="9" max="9" width="12.25" style="3" customWidth="1"/>
    <col min="10" max="16384" width="9" style="3"/>
  </cols>
  <sheetData>
    <row r="2" spans="2:9" ht="13.2" customHeight="1" x14ac:dyDescent="0.2">
      <c r="B2" s="8" t="s">
        <v>5</v>
      </c>
      <c r="E2" s="6"/>
      <c r="F2" s="7"/>
      <c r="G2" s="6"/>
      <c r="H2" s="6"/>
    </row>
    <row r="3" spans="2:9" ht="12.75" customHeight="1" x14ac:dyDescent="0.2"/>
    <row r="4" spans="2:9" ht="12.6" outlineLevel="1" thickBot="1" x14ac:dyDescent="0.3">
      <c r="B4" s="19" t="s">
        <v>0</v>
      </c>
      <c r="C4" s="15" t="s">
        <v>11</v>
      </c>
      <c r="D4" s="5"/>
      <c r="E4" s="16" t="s">
        <v>12</v>
      </c>
      <c r="F4" s="12"/>
      <c r="G4" s="16" t="s">
        <v>13</v>
      </c>
      <c r="H4" s="16"/>
      <c r="I4" s="16" t="s">
        <v>14</v>
      </c>
    </row>
    <row r="5" spans="2:9" ht="12" outlineLevel="1" thickTop="1" x14ac:dyDescent="0.2">
      <c r="B5" s="2" t="s">
        <v>6</v>
      </c>
      <c r="C5" s="10">
        <v>100</v>
      </c>
      <c r="E5" s="10">
        <v>100</v>
      </c>
      <c r="F5" s="4"/>
      <c r="G5" s="10">
        <v>100</v>
      </c>
      <c r="H5" s="10"/>
      <c r="I5" s="10">
        <v>100</v>
      </c>
    </row>
    <row r="6" spans="2:9" outlineLevel="1" x14ac:dyDescent="0.2">
      <c r="B6" s="2" t="s">
        <v>7</v>
      </c>
      <c r="C6" s="10">
        <v>105</v>
      </c>
      <c r="E6" s="10">
        <v>105</v>
      </c>
      <c r="F6" s="4"/>
      <c r="G6" s="10">
        <v>105</v>
      </c>
      <c r="H6" s="10"/>
      <c r="I6" s="10">
        <v>105</v>
      </c>
    </row>
    <row r="7" spans="2:9" s="22" customFormat="1" outlineLevel="1" x14ac:dyDescent="0.2">
      <c r="B7" s="20" t="s">
        <v>4</v>
      </c>
      <c r="C7" s="21">
        <v>103</v>
      </c>
      <c r="E7" s="21">
        <v>102</v>
      </c>
      <c r="F7" s="23"/>
      <c r="G7" s="21">
        <v>100</v>
      </c>
      <c r="H7" s="21"/>
      <c r="I7" s="21">
        <v>100</v>
      </c>
    </row>
    <row r="8" spans="2:9" outlineLevel="1" x14ac:dyDescent="0.2">
      <c r="B8" s="3" t="s">
        <v>8</v>
      </c>
      <c r="C8" s="11">
        <v>0.06</v>
      </c>
      <c r="E8" s="11">
        <v>0.06</v>
      </c>
      <c r="F8" s="4"/>
      <c r="G8" s="11">
        <v>0.06</v>
      </c>
      <c r="H8" s="11"/>
      <c r="I8" s="11">
        <v>0.06</v>
      </c>
    </row>
    <row r="9" spans="2:9" outlineLevel="1" x14ac:dyDescent="0.2">
      <c r="B9" s="3" t="s">
        <v>9</v>
      </c>
      <c r="C9" s="14">
        <f>C5*C8</f>
        <v>6</v>
      </c>
      <c r="D9" s="14"/>
      <c r="E9" s="14">
        <f t="shared" ref="E9:I9" si="0">E5*E8</f>
        <v>6</v>
      </c>
      <c r="F9" s="14"/>
      <c r="G9" s="14">
        <f t="shared" si="0"/>
        <v>6</v>
      </c>
      <c r="H9" s="14"/>
      <c r="I9" s="14">
        <f t="shared" si="0"/>
        <v>6</v>
      </c>
    </row>
    <row r="10" spans="2:9" outlineLevel="1" x14ac:dyDescent="0.2">
      <c r="B10" s="3" t="s">
        <v>10</v>
      </c>
      <c r="C10" s="9">
        <v>7</v>
      </c>
      <c r="E10" s="9">
        <v>7</v>
      </c>
      <c r="F10" s="4"/>
      <c r="G10" s="9">
        <v>7</v>
      </c>
      <c r="H10" s="9"/>
      <c r="I10" s="9">
        <v>7</v>
      </c>
    </row>
    <row r="11" spans="2:9" outlineLevel="1" x14ac:dyDescent="0.2">
      <c r="B11" s="3" t="s">
        <v>3</v>
      </c>
      <c r="C11" s="9">
        <v>4</v>
      </c>
      <c r="E11" s="9">
        <v>5</v>
      </c>
      <c r="F11" s="4"/>
      <c r="G11" s="9">
        <v>6</v>
      </c>
      <c r="H11" s="9"/>
      <c r="I11" s="9">
        <v>7</v>
      </c>
    </row>
    <row r="14" spans="2:9" ht="12.6" outlineLevel="1" thickBot="1" x14ac:dyDescent="0.3">
      <c r="B14" s="19" t="s">
        <v>1</v>
      </c>
      <c r="C14" s="1"/>
      <c r="D14" s="5"/>
      <c r="E14" s="5"/>
      <c r="F14" s="12"/>
      <c r="G14" s="5"/>
      <c r="H14" s="5"/>
      <c r="I14" s="5"/>
    </row>
    <row r="15" spans="2:9" ht="12" outlineLevel="1" thickTop="1" x14ac:dyDescent="0.2">
      <c r="B15" s="2"/>
      <c r="C15" s="13"/>
      <c r="F15" s="4"/>
    </row>
    <row r="16" spans="2:9" outlineLevel="1" x14ac:dyDescent="0.2"/>
    <row r="17" spans="2:9" ht="12" outlineLevel="1" x14ac:dyDescent="0.25">
      <c r="B17" s="25" t="s">
        <v>2</v>
      </c>
      <c r="C17" s="24">
        <f>RATE(C11,C9,-C6,C7)</f>
        <v>5.2741554130306276E-2</v>
      </c>
      <c r="D17" s="17"/>
      <c r="E17" s="24">
        <f>RATE(E11,E9,-E6,E7)</f>
        <v>5.1992689240574645E-2</v>
      </c>
      <c r="F17" s="17"/>
      <c r="G17" s="24">
        <f>RATE(G11,G9,-G6,G7)</f>
        <v>5.014457166693892E-2</v>
      </c>
      <c r="H17" s="18"/>
      <c r="I17" s="24">
        <f>RATE(I11,I9,-I6,I7)</f>
        <v>5.1317699568005602E-2</v>
      </c>
    </row>
    <row r="18" spans="2:9" outlineLevel="1" x14ac:dyDescent="0.2"/>
    <row r="20" spans="2:9" x14ac:dyDescent="0.2">
      <c r="C20" s="3" t="str">
        <f ca="1">_xlfn.FORMULATEXT(C17)</f>
        <v>=RATE(C11,C9,-C6,C7)</v>
      </c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Yield-To-Call (YTC)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Antoniya Baltova</cp:lastModifiedBy>
  <dcterms:created xsi:type="dcterms:W3CDTF">2017-08-22T21:42:52Z</dcterms:created>
  <dcterms:modified xsi:type="dcterms:W3CDTF">2023-04-21T07:52:36Z</dcterms:modified>
</cp:coreProperties>
</file>