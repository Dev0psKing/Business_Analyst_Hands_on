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22_Introduction to Fixed Income Investments/Texts/_Recordings/"/>
    </mc:Choice>
  </mc:AlternateContent>
  <xr:revisionPtr revIDLastSave="53" documentId="10_ncr:40000_{ED87E6EA-B5B5-4078-9051-2C7100242B60}" xr6:coauthVersionLast="47" xr6:coauthVersionMax="47" xr10:uidLastSave="{8C8B5177-6ABC-42B2-92E8-DB8B1B5D8E89}"/>
  <bookViews>
    <workbookView xWindow="-108" yWindow="-108" windowWidth="23256" windowHeight="13176" xr2:uid="{00000000-000D-0000-FFFF-FFFF00000000}"/>
  </bookViews>
  <sheets>
    <sheet name="Bond's Y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/>
  <c r="F6" i="1" l="1"/>
  <c r="E6" i="1"/>
  <c r="D6" i="1"/>
</calcChain>
</file>

<file path=xl/sharedStrings.xml><?xml version="1.0" encoding="utf-8"?>
<sst xmlns="http://schemas.openxmlformats.org/spreadsheetml/2006/main" count="18" uniqueCount="18">
  <si>
    <t>PV</t>
  </si>
  <si>
    <t>PMT</t>
  </si>
  <si>
    <t>FV</t>
  </si>
  <si>
    <t>N</t>
  </si>
  <si>
    <t>Coupon payment</t>
  </si>
  <si>
    <t>Par Value (Future Value)</t>
  </si>
  <si>
    <t>Time to maturity</t>
  </si>
  <si>
    <t>C</t>
  </si>
  <si>
    <t>Example 1</t>
  </si>
  <si>
    <t>Example 2</t>
  </si>
  <si>
    <t>Example 3</t>
  </si>
  <si>
    <t>Price (Present Value)</t>
  </si>
  <si>
    <t xml:space="preserve">Annual coupon rate </t>
  </si>
  <si>
    <t>Calculating Bond's Yield-To-Maturity (YTM)</t>
  </si>
  <si>
    <t>Input Data</t>
  </si>
  <si>
    <t>Output</t>
  </si>
  <si>
    <t>Yield-To-Maturity</t>
  </si>
  <si>
    <t>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</si>
</sst>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73B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4"/>
      <color rgb="FF0073B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0073B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164" fontId="3" fillId="0" borderId="0" xfId="1" applyNumberFormat="1" applyFont="1"/>
    <xf numFmtId="9" fontId="3" fillId="0" borderId="0" xfId="0" applyNumberFormat="1" applyFont="1"/>
    <xf numFmtId="3" fontId="3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2" borderId="0" xfId="2" applyFont="1" applyFill="1" applyAlignment="1">
      <alignment horizontal="left" vertical="center"/>
    </xf>
    <xf numFmtId="49" fontId="7" fillId="2" borderId="2" xfId="3" applyNumberFormat="1" applyFont="1" applyFill="1" applyBorder="1" applyAlignment="1">
      <alignment wrapText="1"/>
    </xf>
    <xf numFmtId="49" fontId="8" fillId="2" borderId="2" xfId="3" applyNumberFormat="1" applyFont="1" applyFill="1" applyBorder="1" applyAlignment="1">
      <alignment horizontal="center" wrapText="1"/>
    </xf>
    <xf numFmtId="0" fontId="9" fillId="2" borderId="2" xfId="3" applyFont="1" applyFill="1" applyBorder="1"/>
    <xf numFmtId="7" fontId="9" fillId="2" borderId="2" xfId="3" applyNumberFormat="1" applyFont="1" applyFill="1" applyBorder="1"/>
    <xf numFmtId="0" fontId="9" fillId="2" borderId="0" xfId="3" applyFont="1" applyFill="1"/>
    <xf numFmtId="0" fontId="10" fillId="2" borderId="0" xfId="2" applyFont="1" applyFill="1" applyAlignment="1">
      <alignment horizontal="left" vertical="center"/>
    </xf>
    <xf numFmtId="9" fontId="4" fillId="0" borderId="0" xfId="1" applyNumberFormat="1" applyFont="1"/>
  </cellXfs>
  <cellStyles count="4">
    <cellStyle name="Comma" xfId="1" builtinId="3"/>
    <cellStyle name="Normal" xfId="0" builtinId="0"/>
    <cellStyle name="Normal 2" xfId="3" xr:uid="{A8F287A0-AE39-45EF-8117-FB76DE101720}"/>
    <cellStyle name="Normal 2 2 2" xfId="2" xr:uid="{2853BDF2-23DB-4E7A-9084-9914DFCB5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tabSelected="1" workbookViewId="0">
      <selection activeCell="G13" sqref="G13"/>
    </sheetView>
  </sheetViews>
  <sheetFormatPr defaultRowHeight="13.8" outlineLevelRow="1" x14ac:dyDescent="0.25"/>
  <cols>
    <col min="1" max="1" width="3.5546875" style="1" customWidth="1"/>
    <col min="2" max="2" width="22" style="1" customWidth="1"/>
    <col min="3" max="3" width="8.88671875" style="1"/>
    <col min="4" max="4" width="11" style="1" bestFit="1" customWidth="1"/>
    <col min="5" max="5" width="10.33203125" style="1" customWidth="1"/>
    <col min="6" max="6" width="10.6640625" style="1" customWidth="1"/>
    <col min="7" max="16384" width="8.88671875" style="1"/>
  </cols>
  <sheetData>
    <row r="2" spans="2:6" ht="17.399999999999999" x14ac:dyDescent="0.25">
      <c r="B2" s="15" t="s">
        <v>13</v>
      </c>
    </row>
    <row r="3" spans="2:6" x14ac:dyDescent="0.25">
      <c r="B3" s="9"/>
    </row>
    <row r="4" spans="2:6" ht="14.4" outlineLevel="1" thickBot="1" x14ac:dyDescent="0.3">
      <c r="B4" s="10" t="s">
        <v>14</v>
      </c>
      <c r="C4" s="11"/>
      <c r="D4" s="12"/>
      <c r="E4" s="12"/>
      <c r="F4" s="13"/>
    </row>
    <row r="5" spans="2:6" s="2" customFormat="1" ht="15" outlineLevel="1" thickTop="1" thickBot="1" x14ac:dyDescent="0.3">
      <c r="D5" s="3" t="s">
        <v>8</v>
      </c>
      <c r="E5" s="3" t="s">
        <v>9</v>
      </c>
      <c r="F5" s="3" t="s">
        <v>10</v>
      </c>
    </row>
    <row r="6" spans="2:6" outlineLevel="1" x14ac:dyDescent="0.25">
      <c r="B6" s="1" t="s">
        <v>4</v>
      </c>
      <c r="C6" s="1" t="s">
        <v>1</v>
      </c>
      <c r="D6" s="4">
        <f>D7*D8</f>
        <v>50</v>
      </c>
      <c r="E6" s="4">
        <f>E7*E8</f>
        <v>80</v>
      </c>
      <c r="F6" s="4">
        <f>F7*F8</f>
        <v>20</v>
      </c>
    </row>
    <row r="7" spans="2:6" outlineLevel="1" x14ac:dyDescent="0.25">
      <c r="B7" s="1" t="s">
        <v>12</v>
      </c>
      <c r="C7" s="1" t="s">
        <v>7</v>
      </c>
      <c r="D7" s="5">
        <v>0.05</v>
      </c>
      <c r="E7" s="5">
        <v>0.08</v>
      </c>
      <c r="F7" s="5">
        <v>0.02</v>
      </c>
    </row>
    <row r="8" spans="2:6" outlineLevel="1" x14ac:dyDescent="0.25">
      <c r="B8" s="1" t="s">
        <v>5</v>
      </c>
      <c r="C8" s="1" t="s">
        <v>2</v>
      </c>
      <c r="D8" s="6">
        <v>1000</v>
      </c>
      <c r="E8" s="6">
        <v>1000</v>
      </c>
      <c r="F8" s="6">
        <v>1000</v>
      </c>
    </row>
    <row r="9" spans="2:6" outlineLevel="1" x14ac:dyDescent="0.25">
      <c r="B9" s="1" t="s">
        <v>11</v>
      </c>
      <c r="C9" s="1" t="s">
        <v>0</v>
      </c>
      <c r="D9" s="6">
        <v>999.99999999999989</v>
      </c>
      <c r="E9" s="6">
        <v>1081.6974408811145</v>
      </c>
      <c r="F9" s="6">
        <v>918.30255911888548</v>
      </c>
    </row>
    <row r="10" spans="2:6" outlineLevel="1" x14ac:dyDescent="0.25">
      <c r="B10" s="1" t="s">
        <v>6</v>
      </c>
      <c r="C10" s="1" t="s">
        <v>3</v>
      </c>
      <c r="D10" s="1">
        <v>3</v>
      </c>
      <c r="E10" s="1">
        <v>3</v>
      </c>
      <c r="F10" s="1">
        <v>3</v>
      </c>
    </row>
    <row r="12" spans="2:6" ht="14.4" outlineLevel="1" thickBot="1" x14ac:dyDescent="0.3">
      <c r="B12" s="10" t="s">
        <v>15</v>
      </c>
      <c r="C12" s="11"/>
      <c r="D12" s="12"/>
      <c r="E12" s="12"/>
      <c r="F12" s="13"/>
    </row>
    <row r="13" spans="2:6" ht="14.4" outlineLevel="1" thickTop="1" x14ac:dyDescent="0.25">
      <c r="B13" s="14" t="s">
        <v>16</v>
      </c>
      <c r="C13" s="1" t="s">
        <v>17</v>
      </c>
      <c r="D13" s="16">
        <f>RATE(D10,D6,-D9,D8)</f>
        <v>5.0000000000000037E-2</v>
      </c>
      <c r="E13" s="16">
        <f t="shared" ref="E13:F13" si="0">RATE(E10,E6,-E9,E8)</f>
        <v>4.9999999999999954E-2</v>
      </c>
      <c r="F13" s="16">
        <f t="shared" si="0"/>
        <v>5.0000000000000037E-2</v>
      </c>
    </row>
    <row r="14" spans="2:6" x14ac:dyDescent="0.25">
      <c r="D14" s="7"/>
      <c r="E14" s="8"/>
      <c r="F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Bond's YTM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Antoniya Baltova</dc:creator>
  <cp:lastModifiedBy>Antoniya Baltova</cp:lastModifiedBy>
  <dcterms:created xsi:type="dcterms:W3CDTF">2022-10-19T08:53:03Z</dcterms:created>
  <dcterms:modified xsi:type="dcterms:W3CDTF">2022-11-23T09:24:30Z</dcterms:modified>
</cp:coreProperties>
</file>